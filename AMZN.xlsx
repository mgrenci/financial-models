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micha\models\financial-models\"/>
    </mc:Choice>
  </mc:AlternateContent>
  <xr:revisionPtr revIDLastSave="0" documentId="13_ncr:1_{2742F551-8C73-4128-B65E-951A130E230C}" xr6:coauthVersionLast="47" xr6:coauthVersionMax="47" xr10:uidLastSave="{00000000-0000-0000-0000-000000000000}"/>
  <bookViews>
    <workbookView xWindow="-108" yWindow="-108" windowWidth="23256" windowHeight="13896" activeTab="1" xr2:uid="{00000000-000D-0000-FFFF-FFFF00000000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2" i="2" l="1"/>
  <c r="Q25" i="2"/>
  <c r="R25" i="2"/>
  <c r="Q24" i="2"/>
  <c r="R24" i="2"/>
  <c r="R23" i="2"/>
  <c r="R22" i="2"/>
  <c r="F25" i="2"/>
  <c r="E25" i="2"/>
  <c r="D25" i="2"/>
  <c r="C25" i="2"/>
  <c r="F24" i="2"/>
  <c r="E24" i="2"/>
  <c r="D24" i="2"/>
  <c r="C24" i="2"/>
  <c r="I25" i="2"/>
  <c r="H25" i="2"/>
  <c r="G25" i="2"/>
  <c r="I24" i="2"/>
  <c r="H24" i="2"/>
  <c r="G24" i="2"/>
  <c r="I23" i="2"/>
  <c r="H23" i="2"/>
  <c r="G23" i="2"/>
  <c r="I22" i="2"/>
  <c r="H22" i="2"/>
  <c r="G22" i="2"/>
  <c r="J25" i="2"/>
  <c r="J24" i="2"/>
  <c r="J23" i="2"/>
  <c r="Q20" i="2"/>
  <c r="Q12" i="2"/>
  <c r="Q11" i="2"/>
  <c r="Q10" i="2"/>
  <c r="Q9" i="2"/>
  <c r="Q8" i="2"/>
  <c r="Q13" i="2" s="1"/>
  <c r="Q6" i="2"/>
  <c r="Q4" i="2"/>
  <c r="Q3" i="2"/>
  <c r="Q5" i="2" s="1"/>
  <c r="Q7" i="2" s="1"/>
  <c r="R20" i="2"/>
  <c r="R17" i="2"/>
  <c r="R12" i="2"/>
  <c r="R11" i="2"/>
  <c r="R10" i="2"/>
  <c r="R9" i="2"/>
  <c r="R8" i="2"/>
  <c r="R13" i="2" s="1"/>
  <c r="R6" i="2"/>
  <c r="R4" i="2"/>
  <c r="R3" i="2"/>
  <c r="R5" i="2" s="1"/>
  <c r="R7" i="2" s="1"/>
  <c r="R14" i="2" s="1"/>
  <c r="R16" i="2" s="1"/>
  <c r="R18" i="2" s="1"/>
  <c r="R19" i="2" s="1"/>
  <c r="G75" i="2"/>
  <c r="G78" i="2" s="1"/>
  <c r="G66" i="2"/>
  <c r="G52" i="2"/>
  <c r="G59" i="2"/>
  <c r="G82" i="2" s="1"/>
  <c r="R82" i="2" s="1"/>
  <c r="G43" i="2"/>
  <c r="G45" i="2" s="1"/>
  <c r="G28" i="2"/>
  <c r="G35" i="2" s="1"/>
  <c r="C17" i="2"/>
  <c r="C15" i="2"/>
  <c r="C13" i="2"/>
  <c r="C5" i="2"/>
  <c r="C7" i="2" s="1"/>
  <c r="G17" i="2"/>
  <c r="G15" i="2"/>
  <c r="R15" i="2" s="1"/>
  <c r="G13" i="2"/>
  <c r="G5" i="2"/>
  <c r="G7" i="2" s="1"/>
  <c r="H75" i="2"/>
  <c r="H66" i="2"/>
  <c r="H52" i="2"/>
  <c r="H59" i="2" s="1"/>
  <c r="H82" i="2" s="1"/>
  <c r="H43" i="2"/>
  <c r="H45" i="2" s="1"/>
  <c r="H28" i="2"/>
  <c r="H35" i="2"/>
  <c r="H27" i="2"/>
  <c r="D17" i="2"/>
  <c r="Q17" i="2" s="1"/>
  <c r="D15" i="2"/>
  <c r="Q15" i="2" s="1"/>
  <c r="D13" i="2"/>
  <c r="D5" i="2"/>
  <c r="D7" i="2" s="1"/>
  <c r="H17" i="2"/>
  <c r="H15" i="2"/>
  <c r="H13" i="2"/>
  <c r="H5" i="2"/>
  <c r="H7" i="2" s="1"/>
  <c r="I75" i="2"/>
  <c r="I66" i="2"/>
  <c r="I52" i="2"/>
  <c r="I59" i="2"/>
  <c r="I82" i="2" s="1"/>
  <c r="J43" i="2"/>
  <c r="J45" i="2"/>
  <c r="I43" i="2"/>
  <c r="I45" i="2" s="1"/>
  <c r="I28" i="2"/>
  <c r="I27" i="2" s="1"/>
  <c r="I35" i="2"/>
  <c r="E17" i="2"/>
  <c r="E15" i="2"/>
  <c r="E13" i="2"/>
  <c r="E5" i="2"/>
  <c r="E7" i="2" s="1"/>
  <c r="I17" i="2"/>
  <c r="I15" i="2"/>
  <c r="I13" i="2"/>
  <c r="I5" i="2"/>
  <c r="I7" i="2" s="1"/>
  <c r="J75" i="2"/>
  <c r="J66" i="2"/>
  <c r="J59" i="2"/>
  <c r="J82" i="2" s="1"/>
  <c r="J28" i="2"/>
  <c r="J27" i="2" s="1"/>
  <c r="F17" i="2"/>
  <c r="F15" i="2"/>
  <c r="F13" i="2"/>
  <c r="F5" i="2"/>
  <c r="F7" i="2" s="1"/>
  <c r="J17" i="2"/>
  <c r="J15" i="2"/>
  <c r="J13" i="2"/>
  <c r="J5" i="2"/>
  <c r="J7" i="2" s="1"/>
  <c r="J14" i="2" s="1"/>
  <c r="J16" i="2" s="1"/>
  <c r="Q2" i="2"/>
  <c r="R2" i="2" s="1"/>
  <c r="S2" i="2" s="1"/>
  <c r="T2" i="2" s="1"/>
  <c r="U2" i="2" s="1"/>
  <c r="V2" i="2" s="1"/>
  <c r="W2" i="2" s="1"/>
  <c r="X2" i="2" s="1"/>
  <c r="Y2" i="2" s="1"/>
  <c r="Z2" i="2" s="1"/>
  <c r="AA2" i="2" s="1"/>
  <c r="L9" i="1"/>
  <c r="L7" i="1"/>
  <c r="L6" i="1"/>
  <c r="Q14" i="2" l="1"/>
  <c r="Q16" i="2" s="1"/>
  <c r="Q18" i="2" s="1"/>
  <c r="Q19" i="2" s="1"/>
  <c r="H78" i="2"/>
  <c r="G27" i="2"/>
  <c r="C14" i="2"/>
  <c r="C16" i="2" s="1"/>
  <c r="C18" i="2" s="1"/>
  <c r="C19" i="2" s="1"/>
  <c r="G14" i="2"/>
  <c r="G16" i="2" s="1"/>
  <c r="G18" i="2" s="1"/>
  <c r="I78" i="2"/>
  <c r="D14" i="2"/>
  <c r="D16" i="2" s="1"/>
  <c r="D18" i="2" s="1"/>
  <c r="D19" i="2" s="1"/>
  <c r="H14" i="2"/>
  <c r="H16" i="2" s="1"/>
  <c r="H18" i="2" s="1"/>
  <c r="J78" i="2"/>
  <c r="J35" i="2"/>
  <c r="E14" i="2"/>
  <c r="E16" i="2" s="1"/>
  <c r="E18" i="2" s="1"/>
  <c r="E19" i="2" s="1"/>
  <c r="I14" i="2"/>
  <c r="I16" i="2" s="1"/>
  <c r="I18" i="2" s="1"/>
  <c r="F14" i="2"/>
  <c r="F16" i="2" s="1"/>
  <c r="F18" i="2" s="1"/>
  <c r="F19" i="2" s="1"/>
  <c r="J18" i="2"/>
  <c r="G19" i="2" l="1"/>
  <c r="G48" i="2"/>
  <c r="H19" i="2"/>
  <c r="H48" i="2"/>
  <c r="I19" i="2"/>
  <c r="I48" i="2"/>
  <c r="J19" i="2"/>
  <c r="J48" i="2"/>
</calcChain>
</file>

<file path=xl/sharedStrings.xml><?xml version="1.0" encoding="utf-8"?>
<sst xmlns="http://schemas.openxmlformats.org/spreadsheetml/2006/main" count="97" uniqueCount="86">
  <si>
    <t xml:space="preserve">Price </t>
  </si>
  <si>
    <t>S/O</t>
  </si>
  <si>
    <t xml:space="preserve">MC </t>
  </si>
  <si>
    <t xml:space="preserve">Cash </t>
  </si>
  <si>
    <t xml:space="preserve">Debt </t>
  </si>
  <si>
    <t xml:space="preserve">EV </t>
  </si>
  <si>
    <t>Main</t>
  </si>
  <si>
    <t>Q422</t>
  </si>
  <si>
    <t>Q121</t>
  </si>
  <si>
    <t>Q221</t>
  </si>
  <si>
    <t>Q321</t>
  </si>
  <si>
    <t>Q421</t>
  </si>
  <si>
    <t>Q122</t>
  </si>
  <si>
    <t>Q222</t>
  </si>
  <si>
    <t>Q322</t>
  </si>
  <si>
    <t>Q123</t>
  </si>
  <si>
    <t>Q223</t>
  </si>
  <si>
    <t>Q323</t>
  </si>
  <si>
    <t>Q423</t>
  </si>
  <si>
    <t xml:space="preserve">Product </t>
  </si>
  <si>
    <t xml:space="preserve">Service </t>
  </si>
  <si>
    <t xml:space="preserve">Revenue </t>
  </si>
  <si>
    <t xml:space="preserve">COGS </t>
  </si>
  <si>
    <t xml:space="preserve">Gross Profit </t>
  </si>
  <si>
    <t xml:space="preserve">Fulfillment </t>
  </si>
  <si>
    <t>Technology &amp; content</t>
  </si>
  <si>
    <t xml:space="preserve">S&amp;M </t>
  </si>
  <si>
    <t xml:space="preserve">G&amp;A </t>
  </si>
  <si>
    <t xml:space="preserve">Other </t>
  </si>
  <si>
    <t xml:space="preserve">Operating Expenses </t>
  </si>
  <si>
    <t xml:space="preserve">Operating Income </t>
  </si>
  <si>
    <t xml:space="preserve">Other Income </t>
  </si>
  <si>
    <t xml:space="preserve">Pretax Income </t>
  </si>
  <si>
    <t xml:space="preserve">Taxes </t>
  </si>
  <si>
    <t xml:space="preserve">Net Income </t>
  </si>
  <si>
    <t xml:space="preserve">EPS </t>
  </si>
  <si>
    <t xml:space="preserve">Net Cash </t>
  </si>
  <si>
    <t>Inventories</t>
  </si>
  <si>
    <t>A/R</t>
  </si>
  <si>
    <t xml:space="preserve">PP&amp;E </t>
  </si>
  <si>
    <t xml:space="preserve">Operating lease </t>
  </si>
  <si>
    <t xml:space="preserve">Goodwill </t>
  </si>
  <si>
    <t xml:space="preserve">Assets </t>
  </si>
  <si>
    <t>A/P</t>
  </si>
  <si>
    <t xml:space="preserve">AE &amp; other </t>
  </si>
  <si>
    <t xml:space="preserve">Unearned revenue </t>
  </si>
  <si>
    <t xml:space="preserve">Lease liabilities </t>
  </si>
  <si>
    <t xml:space="preserve">Liabilities </t>
  </si>
  <si>
    <t xml:space="preserve">S/E </t>
  </si>
  <si>
    <t>L + S/E</t>
  </si>
  <si>
    <t xml:space="preserve">Model NI </t>
  </si>
  <si>
    <t xml:space="preserve">Reported NI </t>
  </si>
  <si>
    <t xml:space="preserve">D&amp;A </t>
  </si>
  <si>
    <t xml:space="preserve">SBC </t>
  </si>
  <si>
    <t xml:space="preserve">Other expense </t>
  </si>
  <si>
    <t xml:space="preserve">DT </t>
  </si>
  <si>
    <t xml:space="preserve">Inventories </t>
  </si>
  <si>
    <t xml:space="preserve">AE &amp; Other </t>
  </si>
  <si>
    <t xml:space="preserve">CFFO </t>
  </si>
  <si>
    <t>CapEx</t>
  </si>
  <si>
    <t xml:space="preserve">Proceeds CapEx </t>
  </si>
  <si>
    <t xml:space="preserve">Acquisitions </t>
  </si>
  <si>
    <t xml:space="preserve">Purchases MS </t>
  </si>
  <si>
    <t>Sales &amp; Maturities MS</t>
  </si>
  <si>
    <t xml:space="preserve">CFFI </t>
  </si>
  <si>
    <t xml:space="preserve">Repurchases stock </t>
  </si>
  <si>
    <t xml:space="preserve">Proceeds ST debt </t>
  </si>
  <si>
    <t xml:space="preserve">Repayments ST debt </t>
  </si>
  <si>
    <t xml:space="preserve">Proceeds LT debt </t>
  </si>
  <si>
    <t xml:space="preserve">Repayments LT debt </t>
  </si>
  <si>
    <t xml:space="preserve">Finance lease </t>
  </si>
  <si>
    <t xml:space="preserve">Financing obligations </t>
  </si>
  <si>
    <t xml:space="preserve">CFFF </t>
  </si>
  <si>
    <t xml:space="preserve">FX </t>
  </si>
  <si>
    <t xml:space="preserve">CIC </t>
  </si>
  <si>
    <t xml:space="preserve">Beginning Cash </t>
  </si>
  <si>
    <t xml:space="preserve">Ending Cash </t>
  </si>
  <si>
    <t xml:space="preserve">FCF </t>
  </si>
  <si>
    <t>Dec 31/2022</t>
  </si>
  <si>
    <t>Sept 30/2022</t>
  </si>
  <si>
    <t>June 30/2022</t>
  </si>
  <si>
    <t>Mar 31/2022</t>
  </si>
  <si>
    <t>Product y/y</t>
  </si>
  <si>
    <t>Service y/y</t>
  </si>
  <si>
    <t xml:space="preserve">Gross Margin </t>
  </si>
  <si>
    <t xml:space="preserve">Tax Rate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</si>
</sst>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3" fontId="0" fillId="0" borderId="0" xfId="0" applyNumberFormat="1"/>
    <xf numFmtId="2" fontId="0" fillId="0" borderId="0" xfId="0" applyNumberFormat="1"/>
    <xf numFmtId="0" fontId="3" fillId="0" borderId="0" xfId="2"/>
    <xf numFmtId="4" fontId="0" fillId="0" borderId="0" xfId="0" applyNumberFormat="1"/>
    <xf numFmtId="0" fontId="2" fillId="0" borderId="0" xfId="0" applyFont="1"/>
    <xf numFmtId="3" fontId="2" fillId="0" borderId="0" xfId="0" applyNumberFormat="1" applyFont="1"/>
    <xf numFmtId="9" fontId="0" fillId="0" borderId="0" xfId="1" applyFont="1"/>
  </cellXfs>
  <cellStyles count="3">
    <cellStyle name="Hyperlink" xfId="2" builtinId="8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0</xdr:colOff>
      <xdr:row>0</xdr:row>
      <xdr:rowOff>152400</xdr:rowOff>
    </xdr:from>
    <xdr:to>
      <xdr:col>10</xdr:col>
      <xdr:colOff>0</xdr:colOff>
      <xdr:row>24</xdr:row>
      <xdr:rowOff>114300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426325BA-EB11-3876-25CC-FA0DEC6D577F}"/>
            </a:ext>
          </a:extLst>
        </xdr:cNvPr>
        <xdr:cNvCxnSpPr/>
      </xdr:nvCxnSpPr>
      <xdr:spPr>
        <a:xfrm>
          <a:off x="6537960" y="152400"/>
          <a:ext cx="0" cy="435102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1</xdr:row>
      <xdr:rowOff>0</xdr:rowOff>
    </xdr:from>
    <xdr:to>
      <xdr:col>18</xdr:col>
      <xdr:colOff>0</xdr:colOff>
      <xdr:row>24</xdr:row>
      <xdr:rowOff>144780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5ADADBF1-B02A-4C92-8C41-627E152392EF}"/>
            </a:ext>
          </a:extLst>
        </xdr:cNvPr>
        <xdr:cNvCxnSpPr/>
      </xdr:nvCxnSpPr>
      <xdr:spPr>
        <a:xfrm>
          <a:off x="11414760" y="182880"/>
          <a:ext cx="0" cy="435102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K4:M9"/>
  <sheetViews>
    <sheetView topLeftCell="D4" workbookViewId="0">
      <selection activeCell="L10" sqref="L10"/>
    </sheetView>
  </sheetViews>
  <sheetFormatPr defaultRowHeight="14.4" x14ac:dyDescent="0.3"/>
  <cols>
    <col min="12" max="12" width="9.6640625" customWidth="1"/>
  </cols>
  <sheetData>
    <row r="4" spans="11:13" x14ac:dyDescent="0.3">
      <c r="K4" t="s">
        <v>0</v>
      </c>
      <c r="L4" s="2">
        <v>98.7</v>
      </c>
    </row>
    <row r="5" spans="11:13" x14ac:dyDescent="0.3">
      <c r="K5" t="s">
        <v>1</v>
      </c>
      <c r="L5" s="1">
        <v>10247.259757</v>
      </c>
      <c r="M5" t="s">
        <v>7</v>
      </c>
    </row>
    <row r="6" spans="11:13" x14ac:dyDescent="0.3">
      <c r="K6" t="s">
        <v>2</v>
      </c>
      <c r="L6" s="1">
        <f>L4*L5</f>
        <v>1011404.5380159001</v>
      </c>
    </row>
    <row r="7" spans="11:13" x14ac:dyDescent="0.3">
      <c r="K7" t="s">
        <v>3</v>
      </c>
      <c r="L7" s="1">
        <f>53888+16138</f>
        <v>70026</v>
      </c>
      <c r="M7" t="s">
        <v>7</v>
      </c>
    </row>
    <row r="8" spans="11:13" x14ac:dyDescent="0.3">
      <c r="K8" t="s">
        <v>4</v>
      </c>
      <c r="L8" s="1">
        <v>67150</v>
      </c>
      <c r="M8" t="s">
        <v>7</v>
      </c>
    </row>
    <row r="9" spans="11:13" x14ac:dyDescent="0.3">
      <c r="K9" t="s">
        <v>5</v>
      </c>
      <c r="L9" s="1">
        <f>L6-L7+L8</f>
        <v>1008528.5380159001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0EA563-025E-4264-BD78-D64CF8DAC7DF}">
  <dimension ref="A1:AA82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J23" sqref="J23"/>
    </sheetView>
  </sheetViews>
  <sheetFormatPr defaultRowHeight="14.4" x14ac:dyDescent="0.3"/>
  <cols>
    <col min="1" max="1" width="5.109375" bestFit="1" customWidth="1"/>
    <col min="2" max="2" width="19.109375" bestFit="1" customWidth="1"/>
    <col min="3" max="16384" width="8.88671875" style="1"/>
  </cols>
  <sheetData>
    <row r="1" spans="1:27" customFormat="1" x14ac:dyDescent="0.3">
      <c r="A1" s="3" t="s">
        <v>6</v>
      </c>
      <c r="G1" t="s">
        <v>81</v>
      </c>
      <c r="H1" t="s">
        <v>80</v>
      </c>
      <c r="I1" t="s">
        <v>79</v>
      </c>
      <c r="J1" t="s">
        <v>78</v>
      </c>
    </row>
    <row r="2" spans="1:27" customFormat="1" x14ac:dyDescent="0.3">
      <c r="C2" t="s">
        <v>8</v>
      </c>
      <c r="D2" t="s">
        <v>9</v>
      </c>
      <c r="E2" t="s">
        <v>10</v>
      </c>
      <c r="F2" t="s">
        <v>11</v>
      </c>
      <c r="G2" t="s">
        <v>12</v>
      </c>
      <c r="H2" t="s">
        <v>13</v>
      </c>
      <c r="I2" t="s">
        <v>14</v>
      </c>
      <c r="J2" t="s">
        <v>7</v>
      </c>
      <c r="K2" t="s">
        <v>15</v>
      </c>
      <c r="L2" t="s">
        <v>16</v>
      </c>
      <c r="M2" t="s">
        <v>17</v>
      </c>
      <c r="N2" t="s">
        <v>18</v>
      </c>
      <c r="P2">
        <v>2020</v>
      </c>
      <c r="Q2">
        <f>P2+1</f>
        <v>2021</v>
      </c>
      <c r="R2">
        <f t="shared" ref="R2:AA2" si="0">Q2+1</f>
        <v>2022</v>
      </c>
      <c r="S2">
        <f t="shared" si="0"/>
        <v>2023</v>
      </c>
      <c r="T2">
        <f t="shared" si="0"/>
        <v>2024</v>
      </c>
      <c r="U2">
        <f t="shared" si="0"/>
        <v>2025</v>
      </c>
      <c r="V2">
        <f t="shared" si="0"/>
        <v>2026</v>
      </c>
      <c r="W2">
        <f t="shared" si="0"/>
        <v>2027</v>
      </c>
      <c r="X2">
        <f t="shared" si="0"/>
        <v>2028</v>
      </c>
      <c r="Y2">
        <f t="shared" si="0"/>
        <v>2029</v>
      </c>
      <c r="Z2">
        <f t="shared" si="0"/>
        <v>2030</v>
      </c>
      <c r="AA2">
        <f t="shared" si="0"/>
        <v>2031</v>
      </c>
    </row>
    <row r="3" spans="1:27" x14ac:dyDescent="0.3">
      <c r="B3" t="s">
        <v>19</v>
      </c>
      <c r="C3" s="1">
        <v>57491</v>
      </c>
      <c r="D3" s="1">
        <v>58004</v>
      </c>
      <c r="E3" s="1">
        <v>54876</v>
      </c>
      <c r="F3" s="1">
        <v>71416</v>
      </c>
      <c r="G3" s="1">
        <v>56455</v>
      </c>
      <c r="H3" s="1">
        <v>56575</v>
      </c>
      <c r="I3" s="1">
        <v>59340</v>
      </c>
      <c r="J3" s="1">
        <v>70531</v>
      </c>
      <c r="Q3" s="1">
        <f>SUM(C3:F3)</f>
        <v>241787</v>
      </c>
      <c r="R3" s="1">
        <f>SUM(G3:J3)</f>
        <v>242901</v>
      </c>
    </row>
    <row r="4" spans="1:27" x14ac:dyDescent="0.3">
      <c r="B4" t="s">
        <v>20</v>
      </c>
      <c r="C4" s="1">
        <v>51027</v>
      </c>
      <c r="D4" s="1">
        <v>55076</v>
      </c>
      <c r="E4" s="1">
        <v>55936</v>
      </c>
      <c r="F4" s="1">
        <v>65996</v>
      </c>
      <c r="G4" s="1">
        <v>59989</v>
      </c>
      <c r="H4" s="1">
        <v>64659</v>
      </c>
      <c r="I4" s="1">
        <v>67761</v>
      </c>
      <c r="J4" s="1">
        <v>78673</v>
      </c>
      <c r="Q4" s="1">
        <f>SUM(C4:F4)</f>
        <v>228035</v>
      </c>
      <c r="R4" s="1">
        <f>SUM(G4:J4)</f>
        <v>271082</v>
      </c>
    </row>
    <row r="5" spans="1:27" x14ac:dyDescent="0.3">
      <c r="B5" t="s">
        <v>21</v>
      </c>
      <c r="C5" s="1">
        <f t="shared" ref="C5:J5" si="1">SUM(C3:C4)</f>
        <v>108518</v>
      </c>
      <c r="D5" s="1">
        <f t="shared" si="1"/>
        <v>113080</v>
      </c>
      <c r="E5" s="1">
        <f t="shared" si="1"/>
        <v>110812</v>
      </c>
      <c r="F5" s="1">
        <f t="shared" si="1"/>
        <v>137412</v>
      </c>
      <c r="G5" s="1">
        <f t="shared" si="1"/>
        <v>116444</v>
      </c>
      <c r="H5" s="1">
        <f t="shared" si="1"/>
        <v>121234</v>
      </c>
      <c r="I5" s="1">
        <f t="shared" si="1"/>
        <v>127101</v>
      </c>
      <c r="J5" s="1">
        <f t="shared" si="1"/>
        <v>149204</v>
      </c>
      <c r="Q5" s="1">
        <f>SUM(Q3:Q4)</f>
        <v>469822</v>
      </c>
      <c r="R5" s="1">
        <f>SUM(R3:R4)</f>
        <v>513983</v>
      </c>
    </row>
    <row r="6" spans="1:27" x14ac:dyDescent="0.3">
      <c r="B6" t="s">
        <v>22</v>
      </c>
      <c r="C6" s="1">
        <v>62403</v>
      </c>
      <c r="D6" s="1">
        <v>64176</v>
      </c>
      <c r="E6" s="1">
        <v>62930</v>
      </c>
      <c r="F6" s="1">
        <v>82835</v>
      </c>
      <c r="G6" s="1">
        <v>66499</v>
      </c>
      <c r="H6" s="1">
        <v>66424</v>
      </c>
      <c r="I6" s="1">
        <v>70268</v>
      </c>
      <c r="J6" s="1">
        <v>85640</v>
      </c>
      <c r="Q6" s="1">
        <f>SUM(C6:F6)</f>
        <v>272344</v>
      </c>
      <c r="R6" s="1">
        <f>SUM(G6:J6)</f>
        <v>288831</v>
      </c>
    </row>
    <row r="7" spans="1:27" x14ac:dyDescent="0.3">
      <c r="B7" t="s">
        <v>23</v>
      </c>
      <c r="C7" s="1">
        <f t="shared" ref="C7:J7" si="2">C5-C6</f>
        <v>46115</v>
      </c>
      <c r="D7" s="1">
        <f t="shared" si="2"/>
        <v>48904</v>
      </c>
      <c r="E7" s="1">
        <f t="shared" si="2"/>
        <v>47882</v>
      </c>
      <c r="F7" s="1">
        <f t="shared" si="2"/>
        <v>54577</v>
      </c>
      <c r="G7" s="1">
        <f t="shared" si="2"/>
        <v>49945</v>
      </c>
      <c r="H7" s="1">
        <f t="shared" si="2"/>
        <v>54810</v>
      </c>
      <c r="I7" s="1">
        <f t="shared" si="2"/>
        <v>56833</v>
      </c>
      <c r="J7" s="1">
        <f t="shared" si="2"/>
        <v>63564</v>
      </c>
      <c r="Q7" s="1">
        <f>Q5-Q6</f>
        <v>197478</v>
      </c>
      <c r="R7" s="1">
        <f>R5-R6</f>
        <v>225152</v>
      </c>
    </row>
    <row r="8" spans="1:27" x14ac:dyDescent="0.3">
      <c r="B8" t="s">
        <v>24</v>
      </c>
      <c r="C8" s="1">
        <v>16530</v>
      </c>
      <c r="D8" s="1">
        <v>17638</v>
      </c>
      <c r="E8" s="1">
        <v>18498</v>
      </c>
      <c r="F8" s="1">
        <v>22445</v>
      </c>
      <c r="G8" s="1">
        <v>20271</v>
      </c>
      <c r="H8" s="1">
        <v>20342</v>
      </c>
      <c r="I8" s="1">
        <v>20583</v>
      </c>
      <c r="J8" s="1">
        <v>23103</v>
      </c>
      <c r="Q8" s="1">
        <f>SUM(C8:F8)</f>
        <v>75111</v>
      </c>
      <c r="R8" s="1">
        <f>SUM(G8:J8)</f>
        <v>84299</v>
      </c>
    </row>
    <row r="9" spans="1:27" x14ac:dyDescent="0.3">
      <c r="B9" t="s">
        <v>25</v>
      </c>
      <c r="C9" s="1">
        <v>12488</v>
      </c>
      <c r="D9" s="1">
        <v>13871</v>
      </c>
      <c r="E9" s="1">
        <v>14380</v>
      </c>
      <c r="F9" s="1">
        <v>15313</v>
      </c>
      <c r="G9" s="1">
        <v>14842</v>
      </c>
      <c r="H9" s="1">
        <v>18072</v>
      </c>
      <c r="I9" s="1">
        <v>19485</v>
      </c>
      <c r="J9" s="1">
        <v>20814</v>
      </c>
      <c r="Q9" s="1">
        <f>SUM(C9:F9)</f>
        <v>56052</v>
      </c>
      <c r="R9" s="1">
        <f>SUM(G9:J9)</f>
        <v>73213</v>
      </c>
    </row>
    <row r="10" spans="1:27" x14ac:dyDescent="0.3">
      <c r="B10" t="s">
        <v>26</v>
      </c>
      <c r="C10" s="1">
        <v>6207</v>
      </c>
      <c r="D10" s="1">
        <v>7524</v>
      </c>
      <c r="E10" s="1">
        <v>8010</v>
      </c>
      <c r="F10" s="1">
        <v>10810</v>
      </c>
      <c r="G10" s="1">
        <v>8320</v>
      </c>
      <c r="H10" s="1">
        <v>10086</v>
      </c>
      <c r="I10" s="1">
        <v>11014</v>
      </c>
      <c r="J10" s="1">
        <v>12818</v>
      </c>
      <c r="Q10" s="1">
        <f>SUM(C10:F10)</f>
        <v>32551</v>
      </c>
      <c r="R10" s="1">
        <f>SUM(G10:J10)</f>
        <v>42238</v>
      </c>
    </row>
    <row r="11" spans="1:27" x14ac:dyDescent="0.3">
      <c r="B11" t="s">
        <v>27</v>
      </c>
      <c r="C11" s="1">
        <v>1987</v>
      </c>
      <c r="D11" s="1">
        <v>2158</v>
      </c>
      <c r="E11" s="1">
        <v>2153</v>
      </c>
      <c r="F11" s="1">
        <v>2525</v>
      </c>
      <c r="G11" s="1">
        <v>2594</v>
      </c>
      <c r="H11" s="1">
        <v>2903</v>
      </c>
      <c r="I11" s="1">
        <v>3061</v>
      </c>
      <c r="J11" s="1">
        <v>3333</v>
      </c>
      <c r="Q11" s="1">
        <f>SUM(C11:F11)</f>
        <v>8823</v>
      </c>
      <c r="R11" s="1">
        <f>SUM(G11:J11)</f>
        <v>11891</v>
      </c>
    </row>
    <row r="12" spans="1:27" x14ac:dyDescent="0.3">
      <c r="B12" t="s">
        <v>28</v>
      </c>
      <c r="C12" s="1">
        <v>38</v>
      </c>
      <c r="D12" s="1">
        <v>11</v>
      </c>
      <c r="E12" s="1">
        <v>-11</v>
      </c>
      <c r="F12" s="1">
        <v>24</v>
      </c>
      <c r="G12" s="1">
        <v>249</v>
      </c>
      <c r="H12" s="1">
        <v>90</v>
      </c>
      <c r="I12" s="1">
        <v>165</v>
      </c>
      <c r="J12" s="1">
        <v>759</v>
      </c>
      <c r="Q12" s="1">
        <f>SUM(C12:F12)</f>
        <v>62</v>
      </c>
      <c r="R12" s="1">
        <f>SUM(G12:J12)</f>
        <v>1263</v>
      </c>
    </row>
    <row r="13" spans="1:27" x14ac:dyDescent="0.3">
      <c r="B13" t="s">
        <v>29</v>
      </c>
      <c r="C13" s="1">
        <f t="shared" ref="C13:J13" si="3">SUM(C8:C12)</f>
        <v>37250</v>
      </c>
      <c r="D13" s="1">
        <f t="shared" si="3"/>
        <v>41202</v>
      </c>
      <c r="E13" s="1">
        <f t="shared" si="3"/>
        <v>43030</v>
      </c>
      <c r="F13" s="1">
        <f t="shared" si="3"/>
        <v>51117</v>
      </c>
      <c r="G13" s="1">
        <f t="shared" si="3"/>
        <v>46276</v>
      </c>
      <c r="H13" s="1">
        <f t="shared" si="3"/>
        <v>51493</v>
      </c>
      <c r="I13" s="1">
        <f t="shared" si="3"/>
        <v>54308</v>
      </c>
      <c r="J13" s="1">
        <f t="shared" si="3"/>
        <v>60827</v>
      </c>
      <c r="Q13" s="1">
        <f>SUM(Q8:Q12)</f>
        <v>172599</v>
      </c>
      <c r="R13" s="1">
        <f>SUM(R8:R12)</f>
        <v>212904</v>
      </c>
    </row>
    <row r="14" spans="1:27" x14ac:dyDescent="0.3">
      <c r="B14" t="s">
        <v>30</v>
      </c>
      <c r="C14" s="1">
        <f t="shared" ref="C14:J14" si="4">C7-C13</f>
        <v>8865</v>
      </c>
      <c r="D14" s="1">
        <f t="shared" si="4"/>
        <v>7702</v>
      </c>
      <c r="E14" s="1">
        <f t="shared" si="4"/>
        <v>4852</v>
      </c>
      <c r="F14" s="1">
        <f t="shared" si="4"/>
        <v>3460</v>
      </c>
      <c r="G14" s="1">
        <f t="shared" si="4"/>
        <v>3669</v>
      </c>
      <c r="H14" s="1">
        <f t="shared" si="4"/>
        <v>3317</v>
      </c>
      <c r="I14" s="1">
        <f t="shared" si="4"/>
        <v>2525</v>
      </c>
      <c r="J14" s="1">
        <f t="shared" si="4"/>
        <v>2737</v>
      </c>
      <c r="Q14" s="1">
        <f>Q7-Q13</f>
        <v>24879</v>
      </c>
      <c r="R14" s="1">
        <f>R7-R13</f>
        <v>12248</v>
      </c>
    </row>
    <row r="15" spans="1:27" x14ac:dyDescent="0.3">
      <c r="B15" t="s">
        <v>31</v>
      </c>
      <c r="C15" s="1">
        <f>105+-399+1697</f>
        <v>1403</v>
      </c>
      <c r="D15" s="1">
        <f>106+-435+1261</f>
        <v>932</v>
      </c>
      <c r="E15" s="1">
        <f>119+-493+-163</f>
        <v>-537</v>
      </c>
      <c r="F15" s="1">
        <f>118+-482+11838</f>
        <v>11474</v>
      </c>
      <c r="G15" s="1">
        <f>108+-472+-8570</f>
        <v>-8934</v>
      </c>
      <c r="H15" s="1">
        <f>159+-584+-5545</f>
        <v>-5970</v>
      </c>
      <c r="I15" s="1">
        <f>277+-617+759</f>
        <v>419</v>
      </c>
      <c r="J15" s="1">
        <f>445+-694+-3450</f>
        <v>-3699</v>
      </c>
      <c r="Q15" s="1">
        <f>SUM(C15:F15)</f>
        <v>13272</v>
      </c>
      <c r="R15" s="1">
        <f>SUM(G15:J15)</f>
        <v>-18184</v>
      </c>
    </row>
    <row r="16" spans="1:27" x14ac:dyDescent="0.3">
      <c r="B16" t="s">
        <v>32</v>
      </c>
      <c r="C16" s="1">
        <f t="shared" ref="C16:J16" si="5">C14+C15</f>
        <v>10268</v>
      </c>
      <c r="D16" s="1">
        <f t="shared" si="5"/>
        <v>8634</v>
      </c>
      <c r="E16" s="1">
        <f t="shared" si="5"/>
        <v>4315</v>
      </c>
      <c r="F16" s="1">
        <f t="shared" si="5"/>
        <v>14934</v>
      </c>
      <c r="G16" s="1">
        <f t="shared" si="5"/>
        <v>-5265</v>
      </c>
      <c r="H16" s="1">
        <f t="shared" si="5"/>
        <v>-2653</v>
      </c>
      <c r="I16" s="1">
        <f t="shared" si="5"/>
        <v>2944</v>
      </c>
      <c r="J16" s="1">
        <f t="shared" si="5"/>
        <v>-962</v>
      </c>
      <c r="Q16" s="1">
        <f>Q14+Q15</f>
        <v>38151</v>
      </c>
      <c r="R16" s="1">
        <f>R14+R15</f>
        <v>-5936</v>
      </c>
    </row>
    <row r="17" spans="1:18" x14ac:dyDescent="0.3">
      <c r="B17" t="s">
        <v>33</v>
      </c>
      <c r="C17" s="1">
        <f>2156+5</f>
        <v>2161</v>
      </c>
      <c r="D17" s="1">
        <f>868+-12</f>
        <v>856</v>
      </c>
      <c r="E17" s="1">
        <f>1155+4</f>
        <v>1159</v>
      </c>
      <c r="F17" s="1">
        <f>612-1</f>
        <v>611</v>
      </c>
      <c r="G17" s="1">
        <f>-1422+1</f>
        <v>-1421</v>
      </c>
      <c r="H17" s="1">
        <f>-637+12</f>
        <v>-625</v>
      </c>
      <c r="I17" s="1">
        <f>69+3</f>
        <v>72</v>
      </c>
      <c r="J17" s="1">
        <f>-1227-13</f>
        <v>-1240</v>
      </c>
      <c r="Q17" s="1">
        <f>SUM(C17:F17)</f>
        <v>4787</v>
      </c>
      <c r="R17" s="1">
        <f>SUM(G17:J17)</f>
        <v>-3214</v>
      </c>
    </row>
    <row r="18" spans="1:18" s="6" customFormat="1" x14ac:dyDescent="0.3">
      <c r="A18" s="5"/>
      <c r="B18" s="5" t="s">
        <v>34</v>
      </c>
      <c r="C18" s="6">
        <f t="shared" ref="C18:J18" si="6">C16-C17</f>
        <v>8107</v>
      </c>
      <c r="D18" s="6">
        <f t="shared" si="6"/>
        <v>7778</v>
      </c>
      <c r="E18" s="6">
        <f t="shared" si="6"/>
        <v>3156</v>
      </c>
      <c r="F18" s="6">
        <f t="shared" si="6"/>
        <v>14323</v>
      </c>
      <c r="G18" s="6">
        <f t="shared" si="6"/>
        <v>-3844</v>
      </c>
      <c r="H18" s="6">
        <f t="shared" si="6"/>
        <v>-2028</v>
      </c>
      <c r="I18" s="6">
        <f t="shared" si="6"/>
        <v>2872</v>
      </c>
      <c r="J18" s="6">
        <f t="shared" si="6"/>
        <v>278</v>
      </c>
      <c r="Q18" s="6">
        <f>Q16-Q17</f>
        <v>33364</v>
      </c>
      <c r="R18" s="6">
        <f>R16-R17</f>
        <v>-2722</v>
      </c>
    </row>
    <row r="19" spans="1:18" x14ac:dyDescent="0.3">
      <c r="B19" t="s">
        <v>35</v>
      </c>
      <c r="C19" s="4">
        <f t="shared" ref="C19:J19" si="7">C18/C20</f>
        <v>16.085317460317459</v>
      </c>
      <c r="D19" s="4">
        <f t="shared" si="7"/>
        <v>0.76987033554389783</v>
      </c>
      <c r="E19" s="4">
        <f t="shared" si="7"/>
        <v>0.31148835373075406</v>
      </c>
      <c r="F19" s="4">
        <f t="shared" si="7"/>
        <v>1.4101604804568277</v>
      </c>
      <c r="G19" s="4">
        <f t="shared" si="7"/>
        <v>-7.5520628683693518</v>
      </c>
      <c r="H19" s="4">
        <f t="shared" si="7"/>
        <v>-0.19931203931203931</v>
      </c>
      <c r="I19" s="4">
        <f t="shared" si="7"/>
        <v>0.28181728976547932</v>
      </c>
      <c r="J19" s="4">
        <f t="shared" si="7"/>
        <v>2.7201565557729943E-2</v>
      </c>
      <c r="Q19" s="4">
        <f>Q18/Q20</f>
        <v>3.2933666754409057</v>
      </c>
      <c r="R19" s="4">
        <f>R18/R20</f>
        <v>-0.26698489505002287</v>
      </c>
    </row>
    <row r="20" spans="1:18" x14ac:dyDescent="0.3">
      <c r="B20" t="s">
        <v>1</v>
      </c>
      <c r="C20" s="1">
        <v>504</v>
      </c>
      <c r="D20" s="1">
        <v>10103</v>
      </c>
      <c r="E20" s="1">
        <v>10132</v>
      </c>
      <c r="F20" s="1">
        <v>10157</v>
      </c>
      <c r="G20" s="1">
        <v>509</v>
      </c>
      <c r="H20" s="1">
        <v>10175</v>
      </c>
      <c r="I20" s="1">
        <v>10191</v>
      </c>
      <c r="J20" s="1">
        <v>10220</v>
      </c>
      <c r="Q20" s="1">
        <f>AVERAGE(D20:F20)</f>
        <v>10130.666666666666</v>
      </c>
      <c r="R20" s="1">
        <f>AVERAGE(H20:J20)</f>
        <v>10195.333333333334</v>
      </c>
    </row>
    <row r="22" spans="1:18" x14ac:dyDescent="0.3">
      <c r="B22" t="s">
        <v>82</v>
      </c>
      <c r="G22" s="7">
        <f t="shared" ref="G22:I22" si="8">G3/C3-1</f>
        <v>-1.8020211859247515E-2</v>
      </c>
      <c r="H22" s="7">
        <f t="shared" si="8"/>
        <v>-2.4636231984001111E-2</v>
      </c>
      <c r="I22" s="7">
        <f t="shared" si="8"/>
        <v>8.1347036956046281E-2</v>
      </c>
      <c r="J22" s="7">
        <f>J3/F3-1</f>
        <v>-1.2392181023860194E-2</v>
      </c>
      <c r="R22" s="7">
        <f>R3/Q3-1</f>
        <v>4.6073610243726471E-3</v>
      </c>
    </row>
    <row r="23" spans="1:18" x14ac:dyDescent="0.3">
      <c r="B23" t="s">
        <v>83</v>
      </c>
      <c r="G23" s="7">
        <f t="shared" ref="G23:I23" si="9">G4/C4-1</f>
        <v>0.17563250827993016</v>
      </c>
      <c r="H23" s="7">
        <f t="shared" si="9"/>
        <v>0.17399593289273008</v>
      </c>
      <c r="I23" s="7">
        <f t="shared" si="9"/>
        <v>0.21140231693363853</v>
      </c>
      <c r="J23" s="7">
        <f>J4/F4-1</f>
        <v>0.19208739923631746</v>
      </c>
      <c r="R23" s="7">
        <f>R4/Q4-1</f>
        <v>0.18877365316727701</v>
      </c>
    </row>
    <row r="24" spans="1:18" x14ac:dyDescent="0.3">
      <c r="B24" t="s">
        <v>84</v>
      </c>
      <c r="C24" s="7">
        <f t="shared" ref="C24:F24" si="10">C7/C5</f>
        <v>0.42495254243535635</v>
      </c>
      <c r="D24" s="7">
        <f t="shared" si="10"/>
        <v>0.43247258577997877</v>
      </c>
      <c r="E24" s="7">
        <f t="shared" si="10"/>
        <v>0.43210121647475003</v>
      </c>
      <c r="F24" s="7">
        <f t="shared" si="10"/>
        <v>0.39717783017494834</v>
      </c>
      <c r="G24" s="7">
        <f t="shared" ref="G24:I24" si="11">G7/G5</f>
        <v>0.42891862182680085</v>
      </c>
      <c r="H24" s="7">
        <f t="shared" si="11"/>
        <v>0.4521008957883102</v>
      </c>
      <c r="I24" s="7">
        <f t="shared" si="11"/>
        <v>0.44714833085498934</v>
      </c>
      <c r="J24" s="7">
        <f>J7/J5</f>
        <v>0.42602075011393797</v>
      </c>
      <c r="Q24" s="7">
        <f>Q7/Q5</f>
        <v>0.42032514441639601</v>
      </c>
      <c r="R24" s="7">
        <f>R7/R5</f>
        <v>0.43805339865326287</v>
      </c>
    </row>
    <row r="25" spans="1:18" x14ac:dyDescent="0.3">
      <c r="B25" t="s">
        <v>85</v>
      </c>
      <c r="C25" s="7">
        <f t="shared" ref="C25:F25" si="12">C17/C16</f>
        <v>0.21045968056096612</v>
      </c>
      <c r="D25" s="7">
        <f t="shared" si="12"/>
        <v>9.9142923326384066E-2</v>
      </c>
      <c r="E25" s="7">
        <f t="shared" si="12"/>
        <v>0.26859791425260721</v>
      </c>
      <c r="F25" s="7">
        <f t="shared" si="12"/>
        <v>4.0913352082496315E-2</v>
      </c>
      <c r="G25" s="7">
        <f t="shared" ref="G25:I25" si="13">G17/G16</f>
        <v>0.26989553656220322</v>
      </c>
      <c r="H25" s="7">
        <f t="shared" si="13"/>
        <v>0.23558235959291368</v>
      </c>
      <c r="I25" s="7">
        <f t="shared" si="13"/>
        <v>2.4456521739130436E-2</v>
      </c>
      <c r="J25" s="7">
        <f>J17/J16</f>
        <v>1.2889812889812891</v>
      </c>
      <c r="Q25" s="7">
        <f>Q17/Q16</f>
        <v>0.12547508584309716</v>
      </c>
      <c r="R25" s="7">
        <f>R17/R16</f>
        <v>0.5414420485175202</v>
      </c>
    </row>
    <row r="27" spans="1:18" s="6" customFormat="1" x14ac:dyDescent="0.3">
      <c r="A27" s="5"/>
      <c r="B27" s="5" t="s">
        <v>36</v>
      </c>
      <c r="G27" s="6">
        <f>G28-G41</f>
        <v>18829</v>
      </c>
      <c r="H27" s="6">
        <f>H28-H41</f>
        <v>2657</v>
      </c>
      <c r="I27" s="6">
        <f>I28-I41</f>
        <v>-257</v>
      </c>
      <c r="J27" s="6">
        <f>J28-J41</f>
        <v>2876</v>
      </c>
    </row>
    <row r="28" spans="1:18" x14ac:dyDescent="0.3">
      <c r="B28" t="s">
        <v>3</v>
      </c>
      <c r="G28" s="1">
        <f>36393+29992</f>
        <v>66385</v>
      </c>
      <c r="H28" s="1">
        <f>37478+23232</f>
        <v>60710</v>
      </c>
      <c r="I28" s="1">
        <f>34947+23715</f>
        <v>58662</v>
      </c>
      <c r="J28" s="1">
        <f>53888+16138</f>
        <v>70026</v>
      </c>
    </row>
    <row r="29" spans="1:18" x14ac:dyDescent="0.3">
      <c r="B29" t="s">
        <v>37</v>
      </c>
      <c r="G29" s="1">
        <v>34987</v>
      </c>
      <c r="H29" s="1">
        <v>38153</v>
      </c>
      <c r="I29" s="1">
        <v>36647</v>
      </c>
      <c r="J29" s="1">
        <v>34405</v>
      </c>
    </row>
    <row r="30" spans="1:18" x14ac:dyDescent="0.3">
      <c r="B30" t="s">
        <v>38</v>
      </c>
      <c r="G30" s="1">
        <v>32504</v>
      </c>
      <c r="H30" s="1">
        <v>34804</v>
      </c>
      <c r="I30" s="1">
        <v>36154</v>
      </c>
      <c r="J30" s="1">
        <v>42360</v>
      </c>
    </row>
    <row r="31" spans="1:18" x14ac:dyDescent="0.3">
      <c r="B31" t="s">
        <v>39</v>
      </c>
      <c r="G31" s="1">
        <v>168468</v>
      </c>
      <c r="H31" s="1">
        <v>173706</v>
      </c>
      <c r="I31" s="1">
        <v>177195</v>
      </c>
      <c r="J31" s="1">
        <v>186715</v>
      </c>
    </row>
    <row r="32" spans="1:18" x14ac:dyDescent="0.3">
      <c r="B32" t="s">
        <v>40</v>
      </c>
      <c r="G32" s="1">
        <v>56161</v>
      </c>
      <c r="H32" s="1">
        <v>58430</v>
      </c>
      <c r="I32" s="1">
        <v>62033</v>
      </c>
      <c r="J32" s="1">
        <v>66123</v>
      </c>
    </row>
    <row r="33" spans="2:10" x14ac:dyDescent="0.3">
      <c r="B33" t="s">
        <v>41</v>
      </c>
      <c r="G33" s="1">
        <v>20229</v>
      </c>
      <c r="H33" s="1">
        <v>20195</v>
      </c>
      <c r="I33" s="1">
        <v>20168</v>
      </c>
      <c r="J33" s="1">
        <v>20288</v>
      </c>
    </row>
    <row r="34" spans="2:10" x14ac:dyDescent="0.3">
      <c r="B34" t="s">
        <v>28</v>
      </c>
      <c r="G34" s="1">
        <v>32033</v>
      </c>
      <c r="H34" s="1">
        <v>33730</v>
      </c>
      <c r="I34" s="1">
        <v>37503</v>
      </c>
      <c r="J34" s="1">
        <v>42758</v>
      </c>
    </row>
    <row r="35" spans="2:10" x14ac:dyDescent="0.3">
      <c r="B35" t="s">
        <v>42</v>
      </c>
      <c r="G35" s="1">
        <f>SUM(G28:G34)</f>
        <v>410767</v>
      </c>
      <c r="H35" s="1">
        <f>SUM(H28:H34)</f>
        <v>419728</v>
      </c>
      <c r="I35" s="1">
        <f>SUM(I28:I34)</f>
        <v>428362</v>
      </c>
      <c r="J35" s="1">
        <f>SUM(J28:J34)</f>
        <v>462675</v>
      </c>
    </row>
    <row r="37" spans="2:10" x14ac:dyDescent="0.3">
      <c r="B37" t="s">
        <v>43</v>
      </c>
      <c r="G37" s="1">
        <v>68547</v>
      </c>
      <c r="H37" s="1">
        <v>71219</v>
      </c>
      <c r="I37" s="1">
        <v>67760</v>
      </c>
      <c r="J37" s="1">
        <v>79600</v>
      </c>
    </row>
    <row r="38" spans="2:10" x14ac:dyDescent="0.3">
      <c r="B38" t="s">
        <v>44</v>
      </c>
      <c r="G38" s="1">
        <v>58141</v>
      </c>
      <c r="H38" s="1">
        <v>56254</v>
      </c>
      <c r="I38" s="1">
        <v>59974</v>
      </c>
      <c r="J38" s="1">
        <v>62566</v>
      </c>
    </row>
    <row r="39" spans="2:10" x14ac:dyDescent="0.3">
      <c r="B39" t="s">
        <v>45</v>
      </c>
      <c r="G39" s="1">
        <v>12820</v>
      </c>
      <c r="H39" s="1">
        <v>12818</v>
      </c>
      <c r="I39" s="1">
        <v>12629</v>
      </c>
      <c r="J39" s="1">
        <v>13227</v>
      </c>
    </row>
    <row r="40" spans="2:10" x14ac:dyDescent="0.3">
      <c r="B40" t="s">
        <v>46</v>
      </c>
      <c r="G40" s="1">
        <v>65731</v>
      </c>
      <c r="H40" s="1">
        <v>66524</v>
      </c>
      <c r="I40" s="1">
        <v>69332</v>
      </c>
      <c r="J40" s="1">
        <v>72968</v>
      </c>
    </row>
    <row r="41" spans="2:10" x14ac:dyDescent="0.3">
      <c r="B41" t="s">
        <v>4</v>
      </c>
      <c r="G41" s="1">
        <v>47556</v>
      </c>
      <c r="H41" s="1">
        <v>58053</v>
      </c>
      <c r="I41" s="1">
        <v>58919</v>
      </c>
      <c r="J41" s="1">
        <v>67150</v>
      </c>
    </row>
    <row r="42" spans="2:10" x14ac:dyDescent="0.3">
      <c r="B42" t="s">
        <v>28</v>
      </c>
      <c r="G42" s="1">
        <v>23971</v>
      </c>
      <c r="H42" s="1">
        <v>23458</v>
      </c>
      <c r="I42" s="1">
        <v>22259</v>
      </c>
      <c r="J42" s="1">
        <v>21121</v>
      </c>
    </row>
    <row r="43" spans="2:10" x14ac:dyDescent="0.3">
      <c r="B43" t="s">
        <v>47</v>
      </c>
      <c r="G43" s="1">
        <f>SUM(G37:G42)</f>
        <v>276766</v>
      </c>
      <c r="H43" s="1">
        <f>SUM(H37:H42)</f>
        <v>288326</v>
      </c>
      <c r="I43" s="1">
        <f>SUM(I37:I42)</f>
        <v>290873</v>
      </c>
      <c r="J43" s="1">
        <f>SUM(J37:J42)</f>
        <v>316632</v>
      </c>
    </row>
    <row r="44" spans="2:10" x14ac:dyDescent="0.3">
      <c r="B44" t="s">
        <v>48</v>
      </c>
      <c r="G44" s="1">
        <v>134001</v>
      </c>
      <c r="H44" s="1">
        <v>131402</v>
      </c>
      <c r="I44" s="1">
        <v>137489</v>
      </c>
      <c r="J44" s="1">
        <v>146043</v>
      </c>
    </row>
    <row r="45" spans="2:10" x14ac:dyDescent="0.3">
      <c r="B45" t="s">
        <v>49</v>
      </c>
      <c r="G45" s="1">
        <f>SUM(G43:G44)</f>
        <v>410767</v>
      </c>
      <c r="H45" s="1">
        <f>SUM(H43:H44)</f>
        <v>419728</v>
      </c>
      <c r="I45" s="1">
        <f>SUM(I43:I44)</f>
        <v>428362</v>
      </c>
      <c r="J45" s="1">
        <f>SUM(J43:J44)</f>
        <v>462675</v>
      </c>
    </row>
    <row r="48" spans="2:10" x14ac:dyDescent="0.3">
      <c r="B48" t="s">
        <v>50</v>
      </c>
      <c r="G48" s="1">
        <f>G18</f>
        <v>-3844</v>
      </c>
      <c r="H48" s="1">
        <f>H18</f>
        <v>-2028</v>
      </c>
      <c r="I48" s="1">
        <f>I18</f>
        <v>2872</v>
      </c>
      <c r="J48" s="1">
        <f>J18</f>
        <v>278</v>
      </c>
    </row>
    <row r="49" spans="2:10" x14ac:dyDescent="0.3">
      <c r="B49" t="s">
        <v>51</v>
      </c>
      <c r="G49" s="1">
        <v>-3844</v>
      </c>
      <c r="H49" s="1">
        <v>-2028</v>
      </c>
      <c r="I49" s="1">
        <v>2872</v>
      </c>
      <c r="J49" s="1">
        <v>278</v>
      </c>
    </row>
    <row r="50" spans="2:10" x14ac:dyDescent="0.3">
      <c r="B50" t="s">
        <v>52</v>
      </c>
      <c r="G50" s="1">
        <v>8978</v>
      </c>
      <c r="H50" s="1">
        <v>9594</v>
      </c>
      <c r="I50" s="1">
        <v>10204</v>
      </c>
      <c r="J50" s="1">
        <v>12685</v>
      </c>
    </row>
    <row r="51" spans="2:10" x14ac:dyDescent="0.3">
      <c r="B51" t="s">
        <v>53</v>
      </c>
      <c r="G51" s="1">
        <v>3250</v>
      </c>
      <c r="H51" s="1">
        <v>5209</v>
      </c>
      <c r="I51" s="1">
        <v>5556</v>
      </c>
      <c r="J51" s="1">
        <v>5606</v>
      </c>
    </row>
    <row r="52" spans="2:10" x14ac:dyDescent="0.3">
      <c r="B52" t="s">
        <v>54</v>
      </c>
      <c r="G52" s="1">
        <f>215+8689</f>
        <v>8904</v>
      </c>
      <c r="H52" s="1">
        <f>122+6104</f>
        <v>6226</v>
      </c>
      <c r="I52" s="1">
        <f>123-1272</f>
        <v>-1149</v>
      </c>
      <c r="J52" s="1">
        <v>3445</v>
      </c>
    </row>
    <row r="53" spans="2:10" x14ac:dyDescent="0.3">
      <c r="B53" t="s">
        <v>55</v>
      </c>
      <c r="G53" s="1">
        <v>-2001</v>
      </c>
      <c r="H53" s="1">
        <v>-1955</v>
      </c>
      <c r="I53" s="1">
        <v>-825</v>
      </c>
      <c r="J53" s="1">
        <v>-3367</v>
      </c>
    </row>
    <row r="54" spans="2:10" x14ac:dyDescent="0.3">
      <c r="B54" t="s">
        <v>56</v>
      </c>
      <c r="G54" s="1">
        <v>-2614</v>
      </c>
      <c r="H54" s="1">
        <v>-3890</v>
      </c>
      <c r="I54" s="1">
        <v>732</v>
      </c>
      <c r="J54" s="1">
        <v>3180</v>
      </c>
    </row>
    <row r="55" spans="2:10" x14ac:dyDescent="0.3">
      <c r="B55" t="s">
        <v>38</v>
      </c>
      <c r="G55" s="1">
        <v>-1516</v>
      </c>
      <c r="H55" s="1">
        <v>-6799</v>
      </c>
      <c r="I55" s="1">
        <v>-4794</v>
      </c>
      <c r="J55" s="1">
        <v>-8788</v>
      </c>
    </row>
    <row r="56" spans="2:10" x14ac:dyDescent="0.3">
      <c r="B56" t="s">
        <v>43</v>
      </c>
      <c r="G56" s="1">
        <v>-9380</v>
      </c>
      <c r="H56" s="1">
        <v>3699</v>
      </c>
      <c r="I56" s="1">
        <v>-1226</v>
      </c>
      <c r="J56" s="1">
        <v>9852</v>
      </c>
    </row>
    <row r="57" spans="2:10" x14ac:dyDescent="0.3">
      <c r="B57" t="s">
        <v>57</v>
      </c>
      <c r="G57" s="1">
        <v>-5903</v>
      </c>
      <c r="H57" s="1">
        <v>-1412</v>
      </c>
      <c r="I57" s="1">
        <v>-20</v>
      </c>
      <c r="J57" s="1">
        <v>5777</v>
      </c>
    </row>
    <row r="58" spans="2:10" x14ac:dyDescent="0.3">
      <c r="B58" t="s">
        <v>45</v>
      </c>
      <c r="G58" s="1">
        <v>1336</v>
      </c>
      <c r="H58" s="1">
        <v>321</v>
      </c>
      <c r="I58" s="1">
        <v>54</v>
      </c>
      <c r="J58" s="1">
        <v>505</v>
      </c>
    </row>
    <row r="59" spans="2:10" x14ac:dyDescent="0.3">
      <c r="B59" t="s">
        <v>58</v>
      </c>
      <c r="G59" s="1">
        <f>SUM(G49:G58)</f>
        <v>-2790</v>
      </c>
      <c r="H59" s="1">
        <f>SUM(H49:H58)</f>
        <v>8965</v>
      </c>
      <c r="I59" s="1">
        <f>SUM(I49:I58)</f>
        <v>11404</v>
      </c>
      <c r="J59" s="1">
        <f>SUM(J49:J58)</f>
        <v>29173</v>
      </c>
    </row>
    <row r="61" spans="2:10" x14ac:dyDescent="0.3">
      <c r="B61" t="s">
        <v>59</v>
      </c>
      <c r="G61" s="1">
        <v>-14951</v>
      </c>
      <c r="H61" s="1">
        <v>-15724</v>
      </c>
      <c r="I61" s="1">
        <v>-16378</v>
      </c>
      <c r="J61" s="1">
        <v>-16592</v>
      </c>
    </row>
    <row r="62" spans="2:10" x14ac:dyDescent="0.3">
      <c r="B62" t="s">
        <v>60</v>
      </c>
      <c r="G62" s="1">
        <v>1209</v>
      </c>
      <c r="H62" s="1">
        <v>1626</v>
      </c>
      <c r="I62" s="1">
        <v>1337</v>
      </c>
      <c r="J62" s="1">
        <v>1152</v>
      </c>
    </row>
    <row r="63" spans="2:10" x14ac:dyDescent="0.3">
      <c r="B63" t="s">
        <v>61</v>
      </c>
      <c r="G63" s="1">
        <v>-6341</v>
      </c>
      <c r="H63" s="1">
        <v>-259</v>
      </c>
      <c r="I63" s="1">
        <v>-885</v>
      </c>
      <c r="J63" s="1">
        <v>-831</v>
      </c>
    </row>
    <row r="64" spans="2:10" x14ac:dyDescent="0.3">
      <c r="B64" t="s">
        <v>63</v>
      </c>
      <c r="G64" s="1">
        <v>22753</v>
      </c>
      <c r="H64" s="1">
        <v>2608</v>
      </c>
      <c r="I64" s="1">
        <v>557</v>
      </c>
      <c r="J64" s="1">
        <v>5683</v>
      </c>
    </row>
    <row r="65" spans="2:10" x14ac:dyDescent="0.3">
      <c r="B65" t="s">
        <v>62</v>
      </c>
      <c r="G65" s="1">
        <v>-1764</v>
      </c>
      <c r="H65" s="1">
        <v>-329</v>
      </c>
      <c r="I65" s="1">
        <v>-239</v>
      </c>
      <c r="J65" s="1">
        <v>-233</v>
      </c>
    </row>
    <row r="66" spans="2:10" x14ac:dyDescent="0.3">
      <c r="B66" t="s">
        <v>64</v>
      </c>
      <c r="G66" s="1">
        <f>SUM(G61:G65)</f>
        <v>906</v>
      </c>
      <c r="H66" s="1">
        <f>SUM(H61:H65)</f>
        <v>-12078</v>
      </c>
      <c r="I66" s="1">
        <f>SUM(I61:I65)</f>
        <v>-15608</v>
      </c>
      <c r="J66" s="1">
        <f>SUM(J61:J65)</f>
        <v>-10821</v>
      </c>
    </row>
    <row r="68" spans="2:10" x14ac:dyDescent="0.3">
      <c r="B68" t="s">
        <v>65</v>
      </c>
      <c r="G68" s="1">
        <v>-2666</v>
      </c>
      <c r="H68" s="1">
        <v>-3334</v>
      </c>
      <c r="I68" s="1">
        <v>0</v>
      </c>
      <c r="J68" s="1">
        <v>0</v>
      </c>
    </row>
    <row r="69" spans="2:10" x14ac:dyDescent="0.3">
      <c r="B69" t="s">
        <v>66</v>
      </c>
      <c r="G69" s="1">
        <v>13743</v>
      </c>
      <c r="H69" s="1">
        <v>4865</v>
      </c>
      <c r="I69" s="1">
        <v>12338</v>
      </c>
      <c r="J69" s="1">
        <v>10607</v>
      </c>
    </row>
    <row r="70" spans="2:10" x14ac:dyDescent="0.3">
      <c r="B70" t="s">
        <v>67</v>
      </c>
      <c r="G70" s="1">
        <v>-6231</v>
      </c>
      <c r="H70" s="1">
        <v>-7610</v>
      </c>
      <c r="I70" s="1">
        <v>-7916</v>
      </c>
      <c r="J70" s="1">
        <v>-15797</v>
      </c>
    </row>
    <row r="71" spans="2:10" x14ac:dyDescent="0.3">
      <c r="B71" t="s">
        <v>68</v>
      </c>
      <c r="G71" s="1">
        <v>0</v>
      </c>
      <c r="H71" s="1">
        <v>12824</v>
      </c>
      <c r="I71" s="1">
        <v>107</v>
      </c>
      <c r="J71" s="1">
        <v>8235</v>
      </c>
    </row>
    <row r="72" spans="2:10" x14ac:dyDescent="0.3">
      <c r="B72" t="s">
        <v>69</v>
      </c>
      <c r="G72" s="1">
        <v>0</v>
      </c>
      <c r="H72" s="1">
        <v>-1</v>
      </c>
      <c r="I72" s="1">
        <v>0</v>
      </c>
      <c r="J72" s="1">
        <v>-1257</v>
      </c>
    </row>
    <row r="73" spans="2:10" x14ac:dyDescent="0.3">
      <c r="B73" t="s">
        <v>70</v>
      </c>
      <c r="G73" s="1">
        <v>-2777</v>
      </c>
      <c r="H73" s="1">
        <v>-2059</v>
      </c>
      <c r="I73" s="1">
        <v>-1465</v>
      </c>
      <c r="J73" s="1">
        <v>-1640</v>
      </c>
    </row>
    <row r="74" spans="2:10" x14ac:dyDescent="0.3">
      <c r="B74" t="s">
        <v>71</v>
      </c>
      <c r="G74" s="1">
        <v>-79</v>
      </c>
      <c r="H74" s="1">
        <v>-59</v>
      </c>
      <c r="I74" s="1">
        <v>-48</v>
      </c>
      <c r="J74" s="1">
        <v>-62</v>
      </c>
    </row>
    <row r="75" spans="2:10" x14ac:dyDescent="0.3">
      <c r="B75" t="s">
        <v>72</v>
      </c>
      <c r="G75" s="1">
        <f>SUM(G68:G74)</f>
        <v>1990</v>
      </c>
      <c r="H75" s="1">
        <f>SUM(H68:H74)</f>
        <v>4626</v>
      </c>
      <c r="I75" s="1">
        <f>SUM(I68:I74)</f>
        <v>3016</v>
      </c>
      <c r="J75" s="1">
        <f>SUM(J68:J74)</f>
        <v>86</v>
      </c>
    </row>
    <row r="77" spans="2:10" x14ac:dyDescent="0.3">
      <c r="B77" t="s">
        <v>73</v>
      </c>
      <c r="G77" s="1">
        <v>16</v>
      </c>
      <c r="H77" s="1">
        <v>-412</v>
      </c>
      <c r="I77" s="1">
        <v>-1334</v>
      </c>
      <c r="J77" s="1">
        <v>637</v>
      </c>
    </row>
    <row r="78" spans="2:10" x14ac:dyDescent="0.3">
      <c r="B78" t="s">
        <v>74</v>
      </c>
      <c r="G78" s="1">
        <f>G77+G75+G66+G59</f>
        <v>122</v>
      </c>
      <c r="H78" s="1">
        <f>H77+H75+H66+H59</f>
        <v>1101</v>
      </c>
      <c r="I78" s="1">
        <f>I77+I75+I66+I59</f>
        <v>-2522</v>
      </c>
      <c r="J78" s="1">
        <f>J77+J75+J66+J59</f>
        <v>19075</v>
      </c>
    </row>
    <row r="79" spans="2:10" x14ac:dyDescent="0.3">
      <c r="B79" t="s">
        <v>75</v>
      </c>
    </row>
    <row r="80" spans="2:10" x14ac:dyDescent="0.3">
      <c r="B80" t="s">
        <v>76</v>
      </c>
    </row>
    <row r="82" spans="1:18" s="6" customFormat="1" x14ac:dyDescent="0.3">
      <c r="A82" s="5"/>
      <c r="B82" s="5" t="s">
        <v>77</v>
      </c>
      <c r="G82" s="6">
        <f>G59+G61</f>
        <v>-17741</v>
      </c>
      <c r="H82" s="6">
        <f>H59+H61</f>
        <v>-6759</v>
      </c>
      <c r="I82" s="6">
        <f>I59+I61</f>
        <v>-4974</v>
      </c>
      <c r="J82" s="6">
        <f>J59+J61</f>
        <v>12581</v>
      </c>
      <c r="R82" s="6">
        <f>SUM(G82:J82)</f>
        <v>-16893</v>
      </c>
    </row>
  </sheetData>
  <hyperlinks>
    <hyperlink ref="A1" location="Main!A1" display="Main" xr:uid="{CFFC05AE-DCB3-4BBE-B6B4-786BC55FB62A}"/>
  </hyperlink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Grenci</dc:creator>
  <cp:lastModifiedBy>Michael Grenci</cp:lastModifiedBy>
  <dcterms:created xsi:type="dcterms:W3CDTF">2015-06-05T18:17:20Z</dcterms:created>
  <dcterms:modified xsi:type="dcterms:W3CDTF">2023-03-23T21:32:14Z</dcterms:modified>
</cp:coreProperties>
</file>