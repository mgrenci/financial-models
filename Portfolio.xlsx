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icha\models\financial-models\"/>
    </mc:Choice>
  </mc:AlternateContent>
  <xr:revisionPtr revIDLastSave="0" documentId="13_ncr:1_{33E8C7D3-1A92-40AF-BC14-82EA296D0E00}" xr6:coauthVersionLast="47" xr6:coauthVersionMax="47" xr10:uidLastSave="{00000000-0000-0000-0000-000000000000}"/>
  <bookViews>
    <workbookView xWindow="-72" yWindow="852" windowWidth="16752" windowHeight="12348" xr2:uid="{00000000-000D-0000-FFFF-FFFF00000000}"/>
  </bookViews>
  <sheets>
    <sheet name="Universe" sheetId="1" r:id="rId1"/>
  </sheets>
  <externalReferences>
    <externalReference r:id="rId2"/>
    <externalReference r:id="rId3"/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E7" i="1"/>
  <c r="D7" i="1"/>
  <c r="C7" i="1"/>
  <c r="I6" i="1" l="1"/>
  <c r="H6" i="1"/>
  <c r="G6" i="1"/>
  <c r="F6" i="1"/>
  <c r="E6" i="1"/>
  <c r="D6" i="1"/>
  <c r="C6" i="1"/>
  <c r="J5" i="1" l="1"/>
  <c r="K5" i="1" s="1"/>
  <c r="H5" i="1"/>
  <c r="G5" i="1"/>
  <c r="I5" i="1" s="1"/>
  <c r="F5" i="1"/>
  <c r="E5" i="1"/>
  <c r="D5" i="1"/>
  <c r="C5" i="1"/>
  <c r="J3" i="1"/>
  <c r="H3" i="1"/>
  <c r="J4" i="1" l="1"/>
  <c r="H4" i="1"/>
  <c r="G4" i="1"/>
  <c r="I4" i="1" s="1"/>
  <c r="F4" i="1"/>
  <c r="E4" i="1"/>
  <c r="D4" i="1"/>
  <c r="C4" i="1"/>
  <c r="G3" i="1"/>
  <c r="F3" i="1"/>
  <c r="E3" i="1"/>
  <c r="D3" i="1"/>
  <c r="C3" i="1"/>
  <c r="K3" i="1" l="1"/>
  <c r="I3" i="1"/>
  <c r="K4" i="1"/>
</calcChain>
</file>

<file path=xl/sharedStrings.xml><?xml version="1.0" encoding="utf-8"?>
<sst xmlns="http://schemas.openxmlformats.org/spreadsheetml/2006/main" count="19" uniqueCount="19">
  <si>
    <t xml:space="preserve">GOOG </t>
  </si>
  <si>
    <t xml:space="preserve">Price </t>
  </si>
  <si>
    <t xml:space="preserve">Market Cap </t>
  </si>
  <si>
    <t xml:space="preserve">Cash </t>
  </si>
  <si>
    <t>Debt</t>
  </si>
  <si>
    <t xml:space="preserve">EV </t>
  </si>
  <si>
    <t>EV/E</t>
  </si>
  <si>
    <t>AAPL</t>
  </si>
  <si>
    <t xml:space="preserve">MSFT </t>
  </si>
  <si>
    <t xml:space="preserve">NVDA </t>
  </si>
  <si>
    <t xml:space="preserve">AMD </t>
  </si>
  <si>
    <t>INTC</t>
  </si>
  <si>
    <t>AMZN</t>
  </si>
  <si>
    <t>META</t>
  </si>
  <si>
    <t>E 2022</t>
  </si>
  <si>
    <t xml:space="preserve">FCF 2022 </t>
  </si>
  <si>
    <t>EV/FCF</t>
  </si>
  <si>
    <t xml:space="preserve">Updated 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</si>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</sst>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models\financial-models\GOOG.xlsx" TargetMode="External"/><Relationship Id="rId1" Type="http://schemas.openxmlformats.org/officeDocument/2006/relationships/externalLinkPath" Target="GOO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models\financial-models\META.xlsx" TargetMode="External"/><Relationship Id="rId1" Type="http://schemas.openxmlformats.org/officeDocument/2006/relationships/externalLinkPath" Target="ME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models\financial-models\AMZN.xlsx" TargetMode="External"/><Relationship Id="rId1" Type="http://schemas.openxmlformats.org/officeDocument/2006/relationships/externalLinkPath" Target="AMZ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models\financial-models\AAPL.xlsx" TargetMode="External"/><Relationship Id="rId1" Type="http://schemas.openxmlformats.org/officeDocument/2006/relationships/externalLinkPath" Target="AAP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models\financial-models\MSFT.xlsx" TargetMode="External"/><Relationship Id="rId1" Type="http://schemas.openxmlformats.org/officeDocument/2006/relationships/externalLinkPath" Target="MS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J4">
            <v>104.36</v>
          </cell>
        </row>
        <row r="6">
          <cell r="J6">
            <v>1336538.52</v>
          </cell>
        </row>
        <row r="7">
          <cell r="J7">
            <v>144254</v>
          </cell>
        </row>
        <row r="8">
          <cell r="J8">
            <v>14701</v>
          </cell>
        </row>
        <row r="9">
          <cell r="J9">
            <v>1206985.52</v>
          </cell>
        </row>
      </sheetData>
      <sheetData sheetId="1">
        <row r="24">
          <cell r="S24">
            <v>59972</v>
          </cell>
        </row>
        <row r="109">
          <cell r="S109">
            <v>60010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I4">
            <v>202.16</v>
          </cell>
        </row>
        <row r="6">
          <cell r="I6">
            <v>524128.01102368004</v>
          </cell>
        </row>
        <row r="7">
          <cell r="I7">
            <v>46939</v>
          </cell>
        </row>
        <row r="8">
          <cell r="I8">
            <v>9923</v>
          </cell>
        </row>
        <row r="9">
          <cell r="I9">
            <v>487112.01102368004</v>
          </cell>
        </row>
      </sheetData>
      <sheetData sheetId="1">
        <row r="19">
          <cell r="S19">
            <v>23199</v>
          </cell>
        </row>
        <row r="95">
          <cell r="S95">
            <v>19044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L4">
            <v>98.7</v>
          </cell>
        </row>
        <row r="6">
          <cell r="L6">
            <v>1011404.5380159001</v>
          </cell>
        </row>
        <row r="7">
          <cell r="L7">
            <v>70026</v>
          </cell>
        </row>
        <row r="8">
          <cell r="L8">
            <v>67150</v>
          </cell>
        </row>
        <row r="9">
          <cell r="L9">
            <v>1008528.5380159001</v>
          </cell>
        </row>
      </sheetData>
      <sheetData sheetId="1">
        <row r="18">
          <cell r="R18">
            <v>-2722</v>
          </cell>
        </row>
        <row r="82">
          <cell r="R82">
            <v>-16893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J4">
            <v>158.93</v>
          </cell>
        </row>
        <row r="6">
          <cell r="J6">
            <v>2514581.8777800002</v>
          </cell>
        </row>
        <row r="7">
          <cell r="J7">
            <v>165450</v>
          </cell>
        </row>
        <row r="8">
          <cell r="J8">
            <v>111110</v>
          </cell>
        </row>
        <row r="9">
          <cell r="J9">
            <v>2460241.8777800002</v>
          </cell>
        </row>
      </sheetData>
      <sheetData sheetId="1">
        <row r="25">
          <cell r="R25">
            <v>99803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5">
          <cell r="L5">
            <v>277.66000000000003</v>
          </cell>
        </row>
        <row r="7">
          <cell r="L7">
            <v>2066846.4889727803</v>
          </cell>
        </row>
        <row r="8">
          <cell r="L8">
            <v>99508</v>
          </cell>
        </row>
        <row r="9">
          <cell r="L9">
            <v>48116</v>
          </cell>
        </row>
        <row r="10">
          <cell r="L10">
            <v>2015454.4889727803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MZN.xlsx" TargetMode="External"/><Relationship Id="rId2" Type="http://schemas.openxmlformats.org/officeDocument/2006/relationships/hyperlink" Target="META.xlsx" TargetMode="External"/><Relationship Id="rId1" Type="http://schemas.openxmlformats.org/officeDocument/2006/relationships/hyperlink" Target="GOOG.xlsx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SFT.xlsx" TargetMode="External"/><Relationship Id="rId4" Type="http://schemas.openxmlformats.org/officeDocument/2006/relationships/hyperlink" Target="AAPL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9" sqref="I9"/>
    </sheetView>
  </sheetViews>
  <sheetFormatPr defaultRowHeight="14.4" x14ac:dyDescent="0.3"/>
  <cols>
    <col min="4" max="4" width="10.88671875" bestFit="1" customWidth="1"/>
    <col min="12" max="12" width="10.33203125" bestFit="1" customWidth="1"/>
  </cols>
  <sheetData>
    <row r="2" spans="2:12" x14ac:dyDescent="0.3">
      <c r="B2" s="8" t="s">
        <v>18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14</v>
      </c>
      <c r="I2" s="1" t="s">
        <v>6</v>
      </c>
      <c r="J2" s="1" t="s">
        <v>15</v>
      </c>
      <c r="K2" s="1" t="s">
        <v>16</v>
      </c>
      <c r="L2" s="1" t="s">
        <v>17</v>
      </c>
    </row>
    <row r="3" spans="2:12" x14ac:dyDescent="0.3">
      <c r="B3" s="2" t="s">
        <v>0</v>
      </c>
      <c r="C3">
        <f>[1]Main!$J$4</f>
        <v>104.36</v>
      </c>
      <c r="D3" s="3">
        <f>[1]Main!$J$6</f>
        <v>1336538.52</v>
      </c>
      <c r="E3" s="3">
        <f>[1]Main!$J$7</f>
        <v>144254</v>
      </c>
      <c r="F3" s="3">
        <f>[1]Main!$J$8</f>
        <v>14701</v>
      </c>
      <c r="G3" s="3">
        <f>[1]Main!$J$9</f>
        <v>1206985.52</v>
      </c>
      <c r="H3" s="3">
        <f>[1]Model!$S$24</f>
        <v>59972</v>
      </c>
      <c r="I3" s="6">
        <f>G3/H3</f>
        <v>20.125817381444673</v>
      </c>
      <c r="J3" s="3">
        <f>[1]Model!$S$109</f>
        <v>60010</v>
      </c>
      <c r="K3" s="6">
        <f>G3/J3</f>
        <v>20.113073154474254</v>
      </c>
      <c r="L3" s="7">
        <v>45007</v>
      </c>
    </row>
    <row r="4" spans="2:12" x14ac:dyDescent="0.3">
      <c r="B4" s="2" t="s">
        <v>13</v>
      </c>
      <c r="C4">
        <f>[2]Main!$I$4</f>
        <v>202.16</v>
      </c>
      <c r="D4" s="3">
        <f>[2]Main!$I$6</f>
        <v>524128.01102368004</v>
      </c>
      <c r="E4" s="3">
        <f>[2]Main!$I$7</f>
        <v>46939</v>
      </c>
      <c r="F4" s="3">
        <f>[2]Main!$I$8</f>
        <v>9923</v>
      </c>
      <c r="G4" s="3">
        <f>[2]Main!$I$9</f>
        <v>487112.01102368004</v>
      </c>
      <c r="H4" s="3">
        <f>[2]Model!$S$19</f>
        <v>23199</v>
      </c>
      <c r="I4" s="6">
        <f>G4/H4</f>
        <v>20.997112419659469</v>
      </c>
      <c r="J4" s="3">
        <f>[2]Model!$S$95</f>
        <v>19044</v>
      </c>
      <c r="K4" s="6">
        <f>G4/J4</f>
        <v>25.578240444427642</v>
      </c>
      <c r="L4" s="7">
        <v>45007</v>
      </c>
    </row>
    <row r="5" spans="2:12" x14ac:dyDescent="0.3">
      <c r="B5" s="9" t="s">
        <v>12</v>
      </c>
      <c r="C5" s="4">
        <f>[3]Main!$L$4</f>
        <v>98.7</v>
      </c>
      <c r="D5" s="3">
        <f>[3]Main!$L$6</f>
        <v>1011404.5380159001</v>
      </c>
      <c r="E5" s="3">
        <f>[3]Main!$L$7</f>
        <v>70026</v>
      </c>
      <c r="F5" s="3">
        <f>[3]Main!$L$8</f>
        <v>67150</v>
      </c>
      <c r="G5" s="3">
        <f>[3]Main!$L$9</f>
        <v>1008528.5380159001</v>
      </c>
      <c r="H5" s="3">
        <f>[3]Model!$R$18</f>
        <v>-2722</v>
      </c>
      <c r="I5" s="6">
        <f>G5/H5</f>
        <v>-370.51011683170464</v>
      </c>
      <c r="J5" s="3">
        <f>[3]Model!$R$82</f>
        <v>-16893</v>
      </c>
      <c r="K5" s="6">
        <f>G5/J5</f>
        <v>-59.700973066708109</v>
      </c>
      <c r="L5" s="7">
        <v>45008</v>
      </c>
    </row>
    <row r="6" spans="2:12" x14ac:dyDescent="0.3">
      <c r="B6" s="2" t="s">
        <v>7</v>
      </c>
      <c r="C6">
        <f>[4]Main!$J$4</f>
        <v>158.93</v>
      </c>
      <c r="D6" s="3">
        <f>[4]Main!$J$6</f>
        <v>2514581.8777800002</v>
      </c>
      <c r="E6" s="3">
        <f>[4]Main!$J$7</f>
        <v>165450</v>
      </c>
      <c r="F6" s="3">
        <f>[4]Main!$J$8</f>
        <v>111110</v>
      </c>
      <c r="G6" s="3">
        <f>[4]Main!$J$9</f>
        <v>2460241.8777800002</v>
      </c>
      <c r="H6" s="3">
        <f>[4]Model!$R$25</f>
        <v>99803</v>
      </c>
      <c r="I6" s="6">
        <f>G6/H6</f>
        <v>24.65098121078525</v>
      </c>
      <c r="L6" s="7">
        <v>45008</v>
      </c>
    </row>
    <row r="7" spans="2:12" x14ac:dyDescent="0.3">
      <c r="B7" s="2" t="s">
        <v>8</v>
      </c>
      <c r="C7">
        <f>[5]Main!$L$5</f>
        <v>277.66000000000003</v>
      </c>
      <c r="D7" s="3">
        <f>[5]Main!$L$7</f>
        <v>2066846.4889727803</v>
      </c>
      <c r="E7" s="3">
        <f>[5]Main!$L$8</f>
        <v>99508</v>
      </c>
      <c r="F7" s="3">
        <f>[5]Main!$L$9</f>
        <v>48116</v>
      </c>
      <c r="G7" s="3">
        <f>[5]Main!$L$10</f>
        <v>2015454.4889727803</v>
      </c>
      <c r="I7" s="5"/>
    </row>
    <row r="8" spans="2:12" x14ac:dyDescent="0.3">
      <c r="B8" t="s">
        <v>9</v>
      </c>
      <c r="I8" s="5"/>
    </row>
    <row r="9" spans="2:12" x14ac:dyDescent="0.3">
      <c r="B9" t="s">
        <v>11</v>
      </c>
      <c r="I9" s="5"/>
    </row>
    <row r="10" spans="2:12" x14ac:dyDescent="0.3">
      <c r="B10" t="s">
        <v>10</v>
      </c>
      <c r="I10" s="5"/>
    </row>
    <row r="11" spans="2:12" x14ac:dyDescent="0.3">
      <c r="I11" s="5"/>
    </row>
    <row r="12" spans="2:12" x14ac:dyDescent="0.3">
      <c r="I12" s="5"/>
    </row>
    <row r="13" spans="2:12" x14ac:dyDescent="0.3">
      <c r="I13" s="5"/>
    </row>
  </sheetData>
  <hyperlinks>
    <hyperlink ref="B3" r:id="rId1" xr:uid="{727DBC40-D724-4910-92FD-461C5167CF9C}"/>
    <hyperlink ref="B4" r:id="rId2" xr:uid="{853C82F7-530E-4CA1-8F6D-E48D9CAF7393}"/>
    <hyperlink ref="B5" r:id="rId3" xr:uid="{FAFC8AF9-EF10-44B2-95AB-7DAA81AC3AA3}"/>
    <hyperlink ref="B6" r:id="rId4" xr:uid="{613A8C9F-35E8-4481-86CA-71D8CDC61513}"/>
    <hyperlink ref="B7" r:id="rId5" xr:uid="{D74C5D8A-CFEF-4A8A-B7DE-0E10F967A9CE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Grenci</dc:creator>
  <cp:lastModifiedBy>Michael Grenci</cp:lastModifiedBy>
  <dcterms:created xsi:type="dcterms:W3CDTF">2015-06-05T18:17:20Z</dcterms:created>
  <dcterms:modified xsi:type="dcterms:W3CDTF">2023-03-23T23:28:22Z</dcterms:modified>
</cp:coreProperties>
</file>