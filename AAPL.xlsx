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ha\models\financial-models\"/>
    </mc:Choice>
  </mc:AlternateContent>
  <xr:revisionPtr revIDLastSave="0" documentId="13_ncr:1_{9EC81442-561F-4151-8530-BD84DA568A5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8" i="2" l="1"/>
  <c r="Q37" i="2"/>
  <c r="Q36" i="2"/>
  <c r="R38" i="2"/>
  <c r="R37" i="2"/>
  <c r="R36" i="2"/>
  <c r="R34" i="2"/>
  <c r="R33" i="2"/>
  <c r="R32" i="2"/>
  <c r="R31" i="2"/>
  <c r="R30" i="2"/>
  <c r="R29" i="2"/>
  <c r="J38" i="2"/>
  <c r="I38" i="2"/>
  <c r="H38" i="2"/>
  <c r="G38" i="2"/>
  <c r="F38" i="2"/>
  <c r="E38" i="2"/>
  <c r="D38" i="2"/>
  <c r="C38" i="2"/>
  <c r="J37" i="2"/>
  <c r="I37" i="2"/>
  <c r="H37" i="2"/>
  <c r="G37" i="2"/>
  <c r="F37" i="2"/>
  <c r="E37" i="2"/>
  <c r="D37" i="2"/>
  <c r="C37" i="2"/>
  <c r="J36" i="2"/>
  <c r="I36" i="2"/>
  <c r="H36" i="2"/>
  <c r="G36" i="2"/>
  <c r="F36" i="2"/>
  <c r="E36" i="2"/>
  <c r="D36" i="2"/>
  <c r="C36" i="2"/>
  <c r="K38" i="2"/>
  <c r="K37" i="2"/>
  <c r="K36" i="2"/>
  <c r="J34" i="2"/>
  <c r="I34" i="2"/>
  <c r="H34" i="2"/>
  <c r="K34" i="2"/>
  <c r="J33" i="2"/>
  <c r="I33" i="2"/>
  <c r="H33" i="2"/>
  <c r="J32" i="2"/>
  <c r="I32" i="2"/>
  <c r="H32" i="2"/>
  <c r="J31" i="2"/>
  <c r="I31" i="2"/>
  <c r="H31" i="2"/>
  <c r="J30" i="2"/>
  <c r="I30" i="2"/>
  <c r="H30" i="2"/>
  <c r="K33" i="2"/>
  <c r="K32" i="2"/>
  <c r="K31" i="2"/>
  <c r="K30" i="2"/>
  <c r="J29" i="2"/>
  <c r="I29" i="2"/>
  <c r="H29" i="2"/>
  <c r="K29" i="2"/>
  <c r="Q27" i="2"/>
  <c r="Q24" i="2"/>
  <c r="Q22" i="2"/>
  <c r="Q19" i="2"/>
  <c r="Q18" i="2"/>
  <c r="Q11" i="2"/>
  <c r="Q12" i="2"/>
  <c r="Q8" i="2"/>
  <c r="Q6" i="2"/>
  <c r="Q5" i="2"/>
  <c r="Q4" i="2"/>
  <c r="Q3" i="2"/>
  <c r="R27" i="2"/>
  <c r="R24" i="2"/>
  <c r="R22" i="2"/>
  <c r="R19" i="2"/>
  <c r="R18" i="2"/>
  <c r="R20" i="2" s="1"/>
  <c r="R12" i="2"/>
  <c r="R11" i="2"/>
  <c r="R13" i="2" s="1"/>
  <c r="R8" i="2"/>
  <c r="R6" i="2"/>
  <c r="R5" i="2"/>
  <c r="R4" i="2"/>
  <c r="R3" i="2"/>
  <c r="C20" i="2"/>
  <c r="C16" i="2"/>
  <c r="C13" i="2"/>
  <c r="C7" i="2"/>
  <c r="C15" i="2" s="1"/>
  <c r="H54" i="2"/>
  <c r="H56" i="2" s="1"/>
  <c r="H58" i="2" s="1"/>
  <c r="H42" i="2"/>
  <c r="H49" i="2" s="1"/>
  <c r="D20" i="2"/>
  <c r="D16" i="2"/>
  <c r="D13" i="2"/>
  <c r="D7" i="2"/>
  <c r="D15" i="2" s="1"/>
  <c r="H20" i="2"/>
  <c r="H16" i="2"/>
  <c r="H13" i="2"/>
  <c r="H7" i="2"/>
  <c r="H15" i="2" s="1"/>
  <c r="I54" i="2"/>
  <c r="I56" i="2" s="1"/>
  <c r="I58" i="2" s="1"/>
  <c r="I42" i="2"/>
  <c r="I49" i="2" s="1"/>
  <c r="E20" i="2"/>
  <c r="E16" i="2"/>
  <c r="E13" i="2"/>
  <c r="E7" i="2"/>
  <c r="E15" i="2" s="1"/>
  <c r="F20" i="2"/>
  <c r="F16" i="2"/>
  <c r="F13" i="2"/>
  <c r="F7" i="2"/>
  <c r="F15" i="2" s="1"/>
  <c r="I20" i="2"/>
  <c r="I16" i="2"/>
  <c r="I13" i="2"/>
  <c r="I7" i="2"/>
  <c r="I15" i="2" s="1"/>
  <c r="J54" i="2"/>
  <c r="J56" i="2"/>
  <c r="J58" i="2" s="1"/>
  <c r="J42" i="2"/>
  <c r="J49" i="2" s="1"/>
  <c r="J20" i="2"/>
  <c r="J16" i="2"/>
  <c r="J13" i="2"/>
  <c r="J7" i="2"/>
  <c r="J15" i="2" s="1"/>
  <c r="K85" i="2"/>
  <c r="K87" i="2" s="1"/>
  <c r="K80" i="2"/>
  <c r="K73" i="2"/>
  <c r="K93" i="2" s="1"/>
  <c r="K54" i="2"/>
  <c r="K56" i="2" s="1"/>
  <c r="K58" i="2" s="1"/>
  <c r="K42" i="2"/>
  <c r="G20" i="2"/>
  <c r="G16" i="2"/>
  <c r="G13" i="2"/>
  <c r="G7" i="2"/>
  <c r="G15" i="2" s="1"/>
  <c r="K20" i="2"/>
  <c r="K16" i="2"/>
  <c r="K13" i="2"/>
  <c r="K7" i="2"/>
  <c r="K15" i="2" s="1"/>
  <c r="K17" i="2" s="1"/>
  <c r="K21" i="2" s="1"/>
  <c r="K23" i="2" s="1"/>
  <c r="K25" i="2" s="1"/>
  <c r="Q2" i="2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J9" i="1"/>
  <c r="J8" i="1"/>
  <c r="J7" i="1"/>
  <c r="J6" i="1"/>
  <c r="H41" i="2" l="1"/>
  <c r="G17" i="2"/>
  <c r="G21" i="2" s="1"/>
  <c r="G23" i="2" s="1"/>
  <c r="G25" i="2" s="1"/>
  <c r="G26" i="2" s="1"/>
  <c r="F17" i="2"/>
  <c r="R7" i="2"/>
  <c r="R9" i="2" s="1"/>
  <c r="R16" i="2"/>
  <c r="K41" i="2"/>
  <c r="E17" i="2"/>
  <c r="E21" i="2" s="1"/>
  <c r="E23" i="2" s="1"/>
  <c r="E25" i="2" s="1"/>
  <c r="E26" i="2" s="1"/>
  <c r="Q16" i="2"/>
  <c r="H17" i="2"/>
  <c r="H21" i="2" s="1"/>
  <c r="H23" i="2" s="1"/>
  <c r="H25" i="2" s="1"/>
  <c r="H26" i="2" s="1"/>
  <c r="K26" i="2"/>
  <c r="K61" i="2"/>
  <c r="K49" i="2"/>
  <c r="K9" i="2"/>
  <c r="Q7" i="2"/>
  <c r="Q15" i="2" s="1"/>
  <c r="Q20" i="2"/>
  <c r="C17" i="2"/>
  <c r="Q13" i="2"/>
  <c r="Q9" i="2"/>
  <c r="C21" i="2"/>
  <c r="C23" i="2" s="1"/>
  <c r="C25" i="2" s="1"/>
  <c r="C26" i="2" s="1"/>
  <c r="D17" i="2"/>
  <c r="D21" i="2" s="1"/>
  <c r="D23" i="2" s="1"/>
  <c r="D25" i="2" s="1"/>
  <c r="D26" i="2" s="1"/>
  <c r="C9" i="2"/>
  <c r="D9" i="2"/>
  <c r="H9" i="2"/>
  <c r="I41" i="2"/>
  <c r="E9" i="2"/>
  <c r="F21" i="2"/>
  <c r="F23" i="2" s="1"/>
  <c r="F25" i="2" s="1"/>
  <c r="F26" i="2" s="1"/>
  <c r="F9" i="2"/>
  <c r="I17" i="2"/>
  <c r="I21" i="2" s="1"/>
  <c r="I23" i="2" s="1"/>
  <c r="I25" i="2" s="1"/>
  <c r="I26" i="2" s="1"/>
  <c r="I9" i="2"/>
  <c r="K90" i="2"/>
  <c r="J41" i="2"/>
  <c r="J17" i="2"/>
  <c r="J21" i="2" s="1"/>
  <c r="J23" i="2" s="1"/>
  <c r="J25" i="2" s="1"/>
  <c r="J9" i="2"/>
  <c r="G9" i="2"/>
  <c r="Q17" i="2" l="1"/>
  <c r="R15" i="2"/>
  <c r="R17" i="2" s="1"/>
  <c r="R21" i="2" s="1"/>
  <c r="R23" i="2" s="1"/>
  <c r="R25" i="2" s="1"/>
  <c r="R26" i="2" s="1"/>
  <c r="Q21" i="2"/>
  <c r="Q23" i="2" s="1"/>
  <c r="Q25" i="2" s="1"/>
  <c r="Q26" i="2" s="1"/>
  <c r="J26" i="2"/>
</calcChain>
</file>

<file path=xl/sharedStrings.xml><?xml version="1.0" encoding="utf-8"?>
<sst xmlns="http://schemas.openxmlformats.org/spreadsheetml/2006/main" count="104" uniqueCount="93">
  <si>
    <t xml:space="preserve">Price </t>
  </si>
  <si>
    <t>S/O</t>
  </si>
  <si>
    <t>MC</t>
  </si>
  <si>
    <t xml:space="preserve">Cash </t>
  </si>
  <si>
    <t xml:space="preserve">Debt </t>
  </si>
  <si>
    <t xml:space="preserve">EV </t>
  </si>
  <si>
    <t>Q123</t>
  </si>
  <si>
    <t>Q121</t>
  </si>
  <si>
    <t>Q221</t>
  </si>
  <si>
    <t>Q321</t>
  </si>
  <si>
    <t>Q421</t>
  </si>
  <si>
    <t>Q122</t>
  </si>
  <si>
    <t>Q222</t>
  </si>
  <si>
    <t>Q322</t>
  </si>
  <si>
    <t>Q422</t>
  </si>
  <si>
    <t>Q223</t>
  </si>
  <si>
    <t>Q323</t>
  </si>
  <si>
    <t>Q423</t>
  </si>
  <si>
    <t>Main</t>
  </si>
  <si>
    <t xml:space="preserve">Products </t>
  </si>
  <si>
    <t xml:space="preserve">Revenue </t>
  </si>
  <si>
    <t xml:space="preserve">iPhone </t>
  </si>
  <si>
    <t xml:space="preserve">Mac </t>
  </si>
  <si>
    <t>iPad</t>
  </si>
  <si>
    <t>Wearables, Home and Accessories</t>
  </si>
  <si>
    <t xml:space="preserve">COGS products </t>
  </si>
  <si>
    <t xml:space="preserve">Gross Profit products </t>
  </si>
  <si>
    <t xml:space="preserve">Services </t>
  </si>
  <si>
    <t xml:space="preserve">COGS services </t>
  </si>
  <si>
    <t xml:space="preserve">Gross Profit services </t>
  </si>
  <si>
    <t xml:space="preserve">COGS </t>
  </si>
  <si>
    <t xml:space="preserve">Gross Profit </t>
  </si>
  <si>
    <t xml:space="preserve">R&amp;D </t>
  </si>
  <si>
    <t xml:space="preserve">SG&amp;A </t>
  </si>
  <si>
    <t xml:space="preserve">Pretax Income </t>
  </si>
  <si>
    <t xml:space="preserve">Other Income </t>
  </si>
  <si>
    <t xml:space="preserve">Operating Income </t>
  </si>
  <si>
    <t xml:space="preserve">Operating Expenses </t>
  </si>
  <si>
    <t xml:space="preserve">Taxes </t>
  </si>
  <si>
    <t xml:space="preserve">Net Income </t>
  </si>
  <si>
    <t xml:space="preserve">EPS </t>
  </si>
  <si>
    <t>Dec 31/2022</t>
  </si>
  <si>
    <t xml:space="preserve">Net Cash </t>
  </si>
  <si>
    <t>A/R</t>
  </si>
  <si>
    <t>Inventories</t>
  </si>
  <si>
    <t xml:space="preserve">Vendor NTR </t>
  </si>
  <si>
    <t>OCA</t>
  </si>
  <si>
    <t xml:space="preserve">PP&amp;E </t>
  </si>
  <si>
    <t xml:space="preserve">ONCA </t>
  </si>
  <si>
    <t xml:space="preserve">Assets </t>
  </si>
  <si>
    <t>A/P</t>
  </si>
  <si>
    <t xml:space="preserve">OCL </t>
  </si>
  <si>
    <t xml:space="preserve">Deferred revenue </t>
  </si>
  <si>
    <t>ONCL</t>
  </si>
  <si>
    <t xml:space="preserve">Liabilities </t>
  </si>
  <si>
    <t xml:space="preserve">S/E </t>
  </si>
  <si>
    <t>L + S/E</t>
  </si>
  <si>
    <t xml:space="preserve">Model NI </t>
  </si>
  <si>
    <t>Reported NI</t>
  </si>
  <si>
    <t xml:space="preserve">D&amp;A </t>
  </si>
  <si>
    <t xml:space="preserve">SBC </t>
  </si>
  <si>
    <t xml:space="preserve">Other </t>
  </si>
  <si>
    <t xml:space="preserve">A/R </t>
  </si>
  <si>
    <t xml:space="preserve">Inventories </t>
  </si>
  <si>
    <t xml:space="preserve">Other assets </t>
  </si>
  <si>
    <t xml:space="preserve">Other liabilities </t>
  </si>
  <si>
    <t xml:space="preserve">CFFO </t>
  </si>
  <si>
    <t xml:space="preserve">Purchases MS </t>
  </si>
  <si>
    <t xml:space="preserve">Maturities MS </t>
  </si>
  <si>
    <t xml:space="preserve">Sales MS </t>
  </si>
  <si>
    <t xml:space="preserve">CapEx </t>
  </si>
  <si>
    <t xml:space="preserve">CFFI </t>
  </si>
  <si>
    <t xml:space="preserve">Equity awards </t>
  </si>
  <si>
    <t xml:space="preserve">dividends </t>
  </si>
  <si>
    <t xml:space="preserve">Repurchases stock </t>
  </si>
  <si>
    <t xml:space="preserve">Repayments debt </t>
  </si>
  <si>
    <t xml:space="preserve">CFFF </t>
  </si>
  <si>
    <t>FX</t>
  </si>
  <si>
    <t>CIC</t>
  </si>
  <si>
    <t xml:space="preserve">FCF </t>
  </si>
  <si>
    <t>Sept. 24/2022</t>
  </si>
  <si>
    <t>June 25/2022</t>
  </si>
  <si>
    <t>Mar 27/2022</t>
  </si>
  <si>
    <t>Dec 25/2021</t>
  </si>
  <si>
    <t>Revenue y/y</t>
  </si>
  <si>
    <t>Iphone y/y</t>
  </si>
  <si>
    <t>Mac y/y</t>
  </si>
  <si>
    <t>iPad y/y</t>
  </si>
  <si>
    <t>WH&amp;A y/y</t>
  </si>
  <si>
    <t>Services y/y</t>
  </si>
  <si>
    <t xml:space="preserve">Gross Margin products </t>
  </si>
  <si>
    <t xml:space="preserve">Gross Margin services </t>
  </si>
  <si>
    <t xml:space="preserve">Gross Margin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</si>
</sst>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3" fillId="0" borderId="0" xfId="2"/>
    <xf numFmtId="4" fontId="0" fillId="0" borderId="0" xfId="0" applyNumberFormat="1"/>
    <xf numFmtId="0" fontId="2" fillId="0" borderId="0" xfId="0" applyFont="1"/>
    <xf numFmtId="3" fontId="2" fillId="0" borderId="0" xfId="0" applyNumberFormat="1" applyFont="1"/>
    <xf numFmtId="9" fontId="0" fillId="0" borderId="0" xfId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137160</xdr:rowOff>
    </xdr:from>
    <xdr:to>
      <xdr:col>11</xdr:col>
      <xdr:colOff>15240</xdr:colOff>
      <xdr:row>30</xdr:row>
      <xdr:rowOff>144780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25AEBA6-2F63-FFBB-80FD-F33A06290CE6}"/>
            </a:ext>
          </a:extLst>
        </xdr:cNvPr>
        <xdr:cNvCxnSpPr/>
      </xdr:nvCxnSpPr>
      <xdr:spPr>
        <a:xfrm flipH="1">
          <a:off x="7840980" y="137160"/>
          <a:ext cx="15240" cy="5494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601980</xdr:colOff>
      <xdr:row>0</xdr:row>
      <xdr:rowOff>0</xdr:rowOff>
    </xdr:from>
    <xdr:to>
      <xdr:col>18</xdr:col>
      <xdr:colOff>7620</xdr:colOff>
      <xdr:row>30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790B638-DF58-4367-A427-15D1A3F2F74E}"/>
            </a:ext>
          </a:extLst>
        </xdr:cNvPr>
        <xdr:cNvCxnSpPr/>
      </xdr:nvCxnSpPr>
      <xdr:spPr>
        <a:xfrm flipH="1">
          <a:off x="12100560" y="0"/>
          <a:ext cx="15240" cy="5494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4:K9"/>
  <sheetViews>
    <sheetView topLeftCell="C1" workbookViewId="0">
      <selection activeCell="I16" sqref="I16"/>
    </sheetView>
  </sheetViews>
  <sheetFormatPr defaultRowHeight="14.4" x14ac:dyDescent="0.3"/>
  <sheetData>
    <row r="4" spans="9:11" x14ac:dyDescent="0.3">
      <c r="I4" t="s">
        <v>0</v>
      </c>
      <c r="J4">
        <v>158.93</v>
      </c>
    </row>
    <row r="5" spans="9:11" x14ac:dyDescent="0.3">
      <c r="I5" t="s">
        <v>1</v>
      </c>
      <c r="J5" s="1">
        <v>15821.946</v>
      </c>
      <c r="K5" t="s">
        <v>6</v>
      </c>
    </row>
    <row r="6" spans="9:11" x14ac:dyDescent="0.3">
      <c r="I6" t="s">
        <v>2</v>
      </c>
      <c r="J6" s="1">
        <f>J4*J5</f>
        <v>2514581.8777800002</v>
      </c>
    </row>
    <row r="7" spans="9:11" x14ac:dyDescent="0.3">
      <c r="I7" t="s">
        <v>3</v>
      </c>
      <c r="J7" s="1">
        <f>20535+30820+114095</f>
        <v>165450</v>
      </c>
      <c r="K7" t="s">
        <v>6</v>
      </c>
    </row>
    <row r="8" spans="9:11" x14ac:dyDescent="0.3">
      <c r="I8" t="s">
        <v>4</v>
      </c>
      <c r="J8" s="1">
        <f>9740+99627+1743</f>
        <v>111110</v>
      </c>
      <c r="K8" t="s">
        <v>6</v>
      </c>
    </row>
    <row r="9" spans="9:11" x14ac:dyDescent="0.3">
      <c r="I9" t="s">
        <v>5</v>
      </c>
      <c r="J9" s="1">
        <f>J6-J7+J8</f>
        <v>2460241.8777800002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9802-2940-4D34-8ADC-F87B744A5A66}">
  <dimension ref="A1:AB9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2" sqref="J22"/>
    </sheetView>
  </sheetViews>
  <sheetFormatPr defaultRowHeight="14.4" x14ac:dyDescent="0.3"/>
  <cols>
    <col min="1" max="1" width="5.109375" bestFit="1" customWidth="1"/>
    <col min="2" max="2" width="29.21875" bestFit="1" customWidth="1"/>
    <col min="3" max="16384" width="8.88671875" style="1"/>
  </cols>
  <sheetData>
    <row r="1" spans="1:28" customFormat="1" x14ac:dyDescent="0.3">
      <c r="A1" s="2" t="s">
        <v>18</v>
      </c>
      <c r="C1" t="s">
        <v>83</v>
      </c>
      <c r="H1" t="s">
        <v>82</v>
      </c>
      <c r="I1" t="s">
        <v>81</v>
      </c>
      <c r="J1" t="s">
        <v>80</v>
      </c>
      <c r="K1" t="s">
        <v>41</v>
      </c>
    </row>
    <row r="2" spans="1:28" customFormat="1" x14ac:dyDescent="0.3"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6</v>
      </c>
      <c r="L2" t="s">
        <v>15</v>
      </c>
      <c r="M2" t="s">
        <v>16</v>
      </c>
      <c r="N2" t="s">
        <v>17</v>
      </c>
      <c r="P2">
        <v>2020</v>
      </c>
      <c r="Q2">
        <f>P2+1</f>
        <v>2021</v>
      </c>
      <c r="R2">
        <f t="shared" ref="R2:AB2" si="0">Q2+1</f>
        <v>2022</v>
      </c>
      <c r="S2">
        <f t="shared" si="0"/>
        <v>2023</v>
      </c>
      <c r="T2">
        <f t="shared" si="0"/>
        <v>2024</v>
      </c>
      <c r="U2">
        <f t="shared" si="0"/>
        <v>2025</v>
      </c>
      <c r="V2">
        <f t="shared" si="0"/>
        <v>2026</v>
      </c>
      <c r="W2">
        <f t="shared" si="0"/>
        <v>2027</v>
      </c>
      <c r="X2">
        <f t="shared" si="0"/>
        <v>2028</v>
      </c>
      <c r="Y2">
        <f t="shared" si="0"/>
        <v>2029</v>
      </c>
      <c r="Z2">
        <f t="shared" si="0"/>
        <v>2030</v>
      </c>
      <c r="AA2">
        <f t="shared" si="0"/>
        <v>2031</v>
      </c>
      <c r="AB2">
        <f t="shared" si="0"/>
        <v>2032</v>
      </c>
    </row>
    <row r="3" spans="1:28" x14ac:dyDescent="0.3">
      <c r="B3" t="s">
        <v>21</v>
      </c>
      <c r="C3" s="1">
        <v>65597</v>
      </c>
      <c r="D3" s="1">
        <v>47938</v>
      </c>
      <c r="E3" s="1">
        <v>39570</v>
      </c>
      <c r="F3" s="1">
        <v>38868</v>
      </c>
      <c r="G3" s="1">
        <v>71628</v>
      </c>
      <c r="H3" s="1">
        <v>50570</v>
      </c>
      <c r="I3" s="1">
        <v>40665</v>
      </c>
      <c r="J3" s="1">
        <v>42626</v>
      </c>
      <c r="K3" s="1">
        <v>65775</v>
      </c>
      <c r="Q3" s="1">
        <f>SUM(C3:F3)</f>
        <v>191973</v>
      </c>
      <c r="R3" s="1">
        <f>SUM(G3:J3)</f>
        <v>205489</v>
      </c>
    </row>
    <row r="4" spans="1:28" x14ac:dyDescent="0.3">
      <c r="B4" t="s">
        <v>22</v>
      </c>
      <c r="C4" s="1">
        <v>8675</v>
      </c>
      <c r="D4" s="1">
        <v>9102</v>
      </c>
      <c r="E4" s="1">
        <v>8235</v>
      </c>
      <c r="F4" s="1">
        <v>9178</v>
      </c>
      <c r="G4" s="1">
        <v>10852</v>
      </c>
      <c r="H4" s="1">
        <v>10435</v>
      </c>
      <c r="I4" s="1">
        <v>7382</v>
      </c>
      <c r="J4" s="1">
        <v>11508</v>
      </c>
      <c r="K4" s="1">
        <v>7735</v>
      </c>
      <c r="Q4" s="1">
        <f>SUM(C4:F4)</f>
        <v>35190</v>
      </c>
      <c r="R4" s="1">
        <f>SUM(G4:J4)</f>
        <v>40177</v>
      </c>
    </row>
    <row r="5" spans="1:28" x14ac:dyDescent="0.3">
      <c r="B5" t="s">
        <v>23</v>
      </c>
      <c r="C5" s="1">
        <v>8435</v>
      </c>
      <c r="D5" s="1">
        <v>7807</v>
      </c>
      <c r="E5" s="1">
        <v>7368</v>
      </c>
      <c r="F5" s="1">
        <v>8252</v>
      </c>
      <c r="G5" s="1">
        <v>7248</v>
      </c>
      <c r="H5" s="1">
        <v>7646</v>
      </c>
      <c r="I5" s="1">
        <v>7224</v>
      </c>
      <c r="J5" s="1">
        <v>7174</v>
      </c>
      <c r="K5" s="1">
        <v>9396</v>
      </c>
      <c r="Q5" s="1">
        <f>SUM(C5:F5)</f>
        <v>31862</v>
      </c>
      <c r="R5" s="1">
        <f>SUM(G5:J5)</f>
        <v>29292</v>
      </c>
    </row>
    <row r="6" spans="1:28" x14ac:dyDescent="0.3">
      <c r="B6" t="s">
        <v>24</v>
      </c>
      <c r="C6" s="1">
        <v>12971</v>
      </c>
      <c r="D6" s="1">
        <v>7836</v>
      </c>
      <c r="E6" s="1">
        <v>8775</v>
      </c>
      <c r="F6" s="1">
        <v>8785</v>
      </c>
      <c r="G6" s="1">
        <v>14701</v>
      </c>
      <c r="H6" s="1">
        <v>8806</v>
      </c>
      <c r="I6" s="1">
        <v>8084</v>
      </c>
      <c r="J6" s="1">
        <v>9650</v>
      </c>
      <c r="K6" s="1">
        <v>13482</v>
      </c>
      <c r="Q6" s="1">
        <f>SUM(C6:F6)</f>
        <v>38367</v>
      </c>
      <c r="R6" s="1">
        <f>SUM(G6:J6)</f>
        <v>41241</v>
      </c>
    </row>
    <row r="7" spans="1:28" x14ac:dyDescent="0.3">
      <c r="B7" t="s">
        <v>19</v>
      </c>
      <c r="C7" s="1">
        <f>SUM(C3:C6)</f>
        <v>95678</v>
      </c>
      <c r="D7" s="1">
        <f>SUM(D3:D6)</f>
        <v>72683</v>
      </c>
      <c r="E7" s="1">
        <f>SUM(E3:E6)</f>
        <v>63948</v>
      </c>
      <c r="F7" s="1">
        <f>SUM(F3:F6)</f>
        <v>65083</v>
      </c>
      <c r="G7" s="1">
        <f>SUM(G3:G6)</f>
        <v>104429</v>
      </c>
      <c r="H7" s="1">
        <f>SUM(H3:H6)</f>
        <v>77457</v>
      </c>
      <c r="I7" s="1">
        <f>SUM(I3:I6)</f>
        <v>63355</v>
      </c>
      <c r="J7" s="1">
        <f>SUM(J3:J6)</f>
        <v>70958</v>
      </c>
      <c r="K7" s="1">
        <f>SUM(K3:K6)</f>
        <v>96388</v>
      </c>
      <c r="Q7" s="1">
        <f>SUM(Q3:Q6)</f>
        <v>297392</v>
      </c>
      <c r="R7" s="1">
        <f>SUM(R3:R6)</f>
        <v>316199</v>
      </c>
    </row>
    <row r="8" spans="1:28" x14ac:dyDescent="0.3">
      <c r="B8" t="s">
        <v>25</v>
      </c>
      <c r="C8" s="1">
        <v>62130</v>
      </c>
      <c r="D8" s="1">
        <v>46447</v>
      </c>
      <c r="E8" s="1">
        <v>40899</v>
      </c>
      <c r="F8" s="1">
        <v>42790</v>
      </c>
      <c r="G8" s="1">
        <v>64309</v>
      </c>
      <c r="H8" s="1">
        <v>49290</v>
      </c>
      <c r="I8" s="1">
        <v>41485</v>
      </c>
      <c r="J8" s="1">
        <v>46387</v>
      </c>
      <c r="K8" s="1">
        <v>60765</v>
      </c>
      <c r="Q8" s="1">
        <f>SUM(C8:F8)</f>
        <v>192266</v>
      </c>
      <c r="R8" s="1">
        <f>SUM(G8:J8)</f>
        <v>201471</v>
      </c>
    </row>
    <row r="9" spans="1:28" x14ac:dyDescent="0.3">
      <c r="B9" t="s">
        <v>26</v>
      </c>
      <c r="C9" s="1">
        <f>C7-C8</f>
        <v>33548</v>
      </c>
      <c r="D9" s="1">
        <f>D7-D8</f>
        <v>26236</v>
      </c>
      <c r="E9" s="1">
        <f>E7-E8</f>
        <v>23049</v>
      </c>
      <c r="F9" s="1">
        <f>F7-F8</f>
        <v>22293</v>
      </c>
      <c r="G9" s="1">
        <f>G7-G8</f>
        <v>40120</v>
      </c>
      <c r="H9" s="1">
        <f>H7-H8</f>
        <v>28167</v>
      </c>
      <c r="I9" s="1">
        <f>I7-I8</f>
        <v>21870</v>
      </c>
      <c r="J9" s="1">
        <f>J7-J8</f>
        <v>24571</v>
      </c>
      <c r="K9" s="1">
        <f>K7-K8</f>
        <v>35623</v>
      </c>
      <c r="Q9" s="1">
        <f>Q7-Q8</f>
        <v>105126</v>
      </c>
      <c r="R9" s="1">
        <f>R7-R8</f>
        <v>114728</v>
      </c>
    </row>
    <row r="11" spans="1:28" x14ac:dyDescent="0.3">
      <c r="B11" t="s">
        <v>27</v>
      </c>
      <c r="C11" s="1">
        <v>15761</v>
      </c>
      <c r="D11" s="1">
        <v>16901</v>
      </c>
      <c r="E11" s="1">
        <v>17486</v>
      </c>
      <c r="F11" s="1">
        <v>18277</v>
      </c>
      <c r="G11" s="1">
        <v>19516</v>
      </c>
      <c r="H11" s="1">
        <v>19821</v>
      </c>
      <c r="I11" s="1">
        <v>19604</v>
      </c>
      <c r="J11" s="1">
        <v>19188</v>
      </c>
      <c r="K11" s="1">
        <v>20766</v>
      </c>
      <c r="Q11" s="1">
        <f>SUM(C11:F11)</f>
        <v>68425</v>
      </c>
      <c r="R11" s="1">
        <f>SUM(G11:J11)</f>
        <v>78129</v>
      </c>
    </row>
    <row r="12" spans="1:28" x14ac:dyDescent="0.3">
      <c r="B12" t="s">
        <v>28</v>
      </c>
      <c r="C12" s="1">
        <v>4981</v>
      </c>
      <c r="D12" s="1">
        <v>5058</v>
      </c>
      <c r="E12" s="1">
        <v>5280</v>
      </c>
      <c r="F12" s="1">
        <v>5396</v>
      </c>
      <c r="G12" s="1">
        <v>5393</v>
      </c>
      <c r="H12" s="1">
        <v>5429</v>
      </c>
      <c r="I12" s="1">
        <v>5589</v>
      </c>
      <c r="J12" s="1">
        <v>5664</v>
      </c>
      <c r="K12" s="1">
        <v>6057</v>
      </c>
      <c r="Q12" s="1">
        <f>SUM(C12:F12)</f>
        <v>20715</v>
      </c>
      <c r="R12" s="1">
        <f>SUM(G12:J12)</f>
        <v>22075</v>
      </c>
    </row>
    <row r="13" spans="1:28" x14ac:dyDescent="0.3">
      <c r="B13" t="s">
        <v>29</v>
      </c>
      <c r="C13" s="1">
        <f>C11-C12</f>
        <v>10780</v>
      </c>
      <c r="D13" s="1">
        <f>D11-D12</f>
        <v>11843</v>
      </c>
      <c r="E13" s="1">
        <f>E11-E12</f>
        <v>12206</v>
      </c>
      <c r="F13" s="1">
        <f>F11-F12</f>
        <v>12881</v>
      </c>
      <c r="G13" s="1">
        <f>G11-G12</f>
        <v>14123</v>
      </c>
      <c r="H13" s="1">
        <f>H11-H12</f>
        <v>14392</v>
      </c>
      <c r="I13" s="1">
        <f>I11-I12</f>
        <v>14015</v>
      </c>
      <c r="J13" s="1">
        <f>J11-J12</f>
        <v>13524</v>
      </c>
      <c r="K13" s="1">
        <f>K11-K12</f>
        <v>14709</v>
      </c>
      <c r="Q13" s="1">
        <f>Q11-Q12</f>
        <v>47710</v>
      </c>
      <c r="R13" s="1">
        <f>R11-R12</f>
        <v>56054</v>
      </c>
    </row>
    <row r="15" spans="1:28" x14ac:dyDescent="0.3">
      <c r="B15" t="s">
        <v>20</v>
      </c>
      <c r="C15" s="1">
        <f>C11+C7</f>
        <v>111439</v>
      </c>
      <c r="D15" s="1">
        <f>D11+D7</f>
        <v>89584</v>
      </c>
      <c r="E15" s="1">
        <f>E11+E7</f>
        <v>81434</v>
      </c>
      <c r="F15" s="1">
        <f>F11+F7</f>
        <v>83360</v>
      </c>
      <c r="G15" s="1">
        <f>G11+G7</f>
        <v>123945</v>
      </c>
      <c r="H15" s="1">
        <f>H11+H7</f>
        <v>97278</v>
      </c>
      <c r="I15" s="1">
        <f>I11+I7</f>
        <v>82959</v>
      </c>
      <c r="J15" s="1">
        <f>J11+J7</f>
        <v>90146</v>
      </c>
      <c r="K15" s="1">
        <f>K11+K7</f>
        <v>117154</v>
      </c>
      <c r="Q15" s="1">
        <f>Q11+Q7</f>
        <v>365817</v>
      </c>
      <c r="R15" s="1">
        <f>R11+R7</f>
        <v>394328</v>
      </c>
    </row>
    <row r="16" spans="1:28" x14ac:dyDescent="0.3">
      <c r="B16" t="s">
        <v>30</v>
      </c>
      <c r="C16" s="1">
        <f>C12+C8</f>
        <v>67111</v>
      </c>
      <c r="D16" s="1">
        <f>D12+D8</f>
        <v>51505</v>
      </c>
      <c r="E16" s="1">
        <f>E12+E8</f>
        <v>46179</v>
      </c>
      <c r="F16" s="1">
        <f>F12+F8</f>
        <v>48186</v>
      </c>
      <c r="G16" s="1">
        <f>G12+G8</f>
        <v>69702</v>
      </c>
      <c r="H16" s="1">
        <f>H12+H8</f>
        <v>54719</v>
      </c>
      <c r="I16" s="1">
        <f>I12+I8</f>
        <v>47074</v>
      </c>
      <c r="J16" s="1">
        <f>J12+J8</f>
        <v>52051</v>
      </c>
      <c r="K16" s="1">
        <f>K12+K8</f>
        <v>66822</v>
      </c>
      <c r="Q16" s="1">
        <f>Q12+Q8</f>
        <v>212981</v>
      </c>
      <c r="R16" s="1">
        <f>R12+R8</f>
        <v>223546</v>
      </c>
    </row>
    <row r="17" spans="1:18" x14ac:dyDescent="0.3">
      <c r="B17" t="s">
        <v>31</v>
      </c>
      <c r="C17" s="1">
        <f>C15-C16</f>
        <v>44328</v>
      </c>
      <c r="D17" s="1">
        <f>D15-D16</f>
        <v>38079</v>
      </c>
      <c r="E17" s="1">
        <f>E15-E16</f>
        <v>35255</v>
      </c>
      <c r="F17" s="1">
        <f>F15-F16</f>
        <v>35174</v>
      </c>
      <c r="G17" s="1">
        <f>G15-G16</f>
        <v>54243</v>
      </c>
      <c r="H17" s="1">
        <f>H15-H16</f>
        <v>42559</v>
      </c>
      <c r="I17" s="1">
        <f>I15-I16</f>
        <v>35885</v>
      </c>
      <c r="J17" s="1">
        <f>J15-J16</f>
        <v>38095</v>
      </c>
      <c r="K17" s="1">
        <f>K15-K16</f>
        <v>50332</v>
      </c>
      <c r="Q17" s="1">
        <f>Q15-Q16</f>
        <v>152836</v>
      </c>
      <c r="R17" s="1">
        <f>R15-R16</f>
        <v>170782</v>
      </c>
    </row>
    <row r="18" spans="1:18" x14ac:dyDescent="0.3">
      <c r="B18" t="s">
        <v>32</v>
      </c>
      <c r="C18" s="1">
        <v>5163</v>
      </c>
      <c r="D18" s="1">
        <v>5262</v>
      </c>
      <c r="E18" s="1">
        <v>5717</v>
      </c>
      <c r="F18" s="1">
        <v>5772</v>
      </c>
      <c r="G18" s="1">
        <v>6306</v>
      </c>
      <c r="H18" s="1">
        <v>6387</v>
      </c>
      <c r="I18" s="1">
        <v>6797</v>
      </c>
      <c r="J18" s="1">
        <v>6761</v>
      </c>
      <c r="K18" s="1">
        <v>7709</v>
      </c>
      <c r="Q18" s="1">
        <f>SUM(C18:F18)</f>
        <v>21914</v>
      </c>
      <c r="R18" s="1">
        <f>SUM(G18:J18)</f>
        <v>26251</v>
      </c>
    </row>
    <row r="19" spans="1:18" x14ac:dyDescent="0.3">
      <c r="B19" t="s">
        <v>33</v>
      </c>
      <c r="C19" s="1">
        <v>5631</v>
      </c>
      <c r="D19" s="1">
        <v>5314</v>
      </c>
      <c r="E19" s="1">
        <v>5412</v>
      </c>
      <c r="F19" s="1">
        <v>5616</v>
      </c>
      <c r="G19" s="1">
        <v>6449</v>
      </c>
      <c r="H19" s="1">
        <v>6193</v>
      </c>
      <c r="I19" s="1">
        <v>6012</v>
      </c>
      <c r="J19" s="1">
        <v>6440</v>
      </c>
      <c r="K19" s="1">
        <v>6607</v>
      </c>
      <c r="Q19" s="1">
        <f>SUM(C19:F19)</f>
        <v>21973</v>
      </c>
      <c r="R19" s="1">
        <f>SUM(G19:J19)</f>
        <v>25094</v>
      </c>
    </row>
    <row r="20" spans="1:18" x14ac:dyDescent="0.3">
      <c r="B20" t="s">
        <v>37</v>
      </c>
      <c r="C20" s="1">
        <f>SUM(C18:C19)</f>
        <v>10794</v>
      </c>
      <c r="D20" s="1">
        <f>SUM(D18:D19)</f>
        <v>10576</v>
      </c>
      <c r="E20" s="1">
        <f>SUM(E18:E19)</f>
        <v>11129</v>
      </c>
      <c r="F20" s="1">
        <f>SUM(F18:F19)</f>
        <v>11388</v>
      </c>
      <c r="G20" s="1">
        <f>SUM(G18:G19)</f>
        <v>12755</v>
      </c>
      <c r="H20" s="1">
        <f>SUM(H18:H19)</f>
        <v>12580</v>
      </c>
      <c r="I20" s="1">
        <f>SUM(I18:I19)</f>
        <v>12809</v>
      </c>
      <c r="J20" s="1">
        <f>SUM(J18:J19)</f>
        <v>13201</v>
      </c>
      <c r="K20" s="1">
        <f>SUM(K18:K19)</f>
        <v>14316</v>
      </c>
      <c r="Q20" s="1">
        <f>SUM(Q18:Q19)</f>
        <v>43887</v>
      </c>
      <c r="R20" s="1">
        <f>SUM(R18:R19)</f>
        <v>51345</v>
      </c>
    </row>
    <row r="21" spans="1:18" x14ac:dyDescent="0.3">
      <c r="B21" t="s">
        <v>36</v>
      </c>
      <c r="C21" s="1">
        <f>C17-C20</f>
        <v>33534</v>
      </c>
      <c r="D21" s="1">
        <f>D17-D20</f>
        <v>27503</v>
      </c>
      <c r="E21" s="1">
        <f>E17-E20</f>
        <v>24126</v>
      </c>
      <c r="F21" s="1">
        <f>F17-F20</f>
        <v>23786</v>
      </c>
      <c r="G21" s="1">
        <f>G17-G20</f>
        <v>41488</v>
      </c>
      <c r="H21" s="1">
        <f>H17-H20</f>
        <v>29979</v>
      </c>
      <c r="I21" s="1">
        <f>I17-I20</f>
        <v>23076</v>
      </c>
      <c r="J21" s="1">
        <f>J17-J20</f>
        <v>24894</v>
      </c>
      <c r="K21" s="1">
        <f>K17-K20</f>
        <v>36016</v>
      </c>
      <c r="Q21" s="1">
        <f>Q17-Q20</f>
        <v>108949</v>
      </c>
      <c r="R21" s="1">
        <f>R17-R20</f>
        <v>119437</v>
      </c>
    </row>
    <row r="22" spans="1:18" x14ac:dyDescent="0.3">
      <c r="B22" t="s">
        <v>35</v>
      </c>
      <c r="C22" s="1">
        <v>45</v>
      </c>
      <c r="D22" s="1">
        <v>508</v>
      </c>
      <c r="E22" s="1">
        <v>243</v>
      </c>
      <c r="F22" s="1">
        <v>-538</v>
      </c>
      <c r="G22" s="1">
        <v>-247</v>
      </c>
      <c r="H22" s="1">
        <v>160</v>
      </c>
      <c r="I22" s="1">
        <v>-10</v>
      </c>
      <c r="J22" s="1">
        <v>-237</v>
      </c>
      <c r="K22" s="1">
        <v>-393</v>
      </c>
      <c r="Q22" s="1">
        <f>SUM(C22:F22)</f>
        <v>258</v>
      </c>
      <c r="R22" s="1">
        <f>SUM(G22:J22)</f>
        <v>-334</v>
      </c>
    </row>
    <row r="23" spans="1:18" x14ac:dyDescent="0.3">
      <c r="B23" t="s">
        <v>34</v>
      </c>
      <c r="C23" s="1">
        <f>C21+C22</f>
        <v>33579</v>
      </c>
      <c r="D23" s="1">
        <f>D21+D22</f>
        <v>28011</v>
      </c>
      <c r="E23" s="1">
        <f>E21+E22</f>
        <v>24369</v>
      </c>
      <c r="F23" s="1">
        <f>F21+F22</f>
        <v>23248</v>
      </c>
      <c r="G23" s="1">
        <f>G21+G22</f>
        <v>41241</v>
      </c>
      <c r="H23" s="1">
        <f>H21+H22</f>
        <v>30139</v>
      </c>
      <c r="I23" s="1">
        <f>I21+I22</f>
        <v>23066</v>
      </c>
      <c r="J23" s="1">
        <f>J21+J22</f>
        <v>24657</v>
      </c>
      <c r="K23" s="1">
        <f>K21+K22</f>
        <v>35623</v>
      </c>
      <c r="Q23" s="1">
        <f>Q21+Q22</f>
        <v>109207</v>
      </c>
      <c r="R23" s="1">
        <f>R21+R22</f>
        <v>119103</v>
      </c>
    </row>
    <row r="24" spans="1:18" x14ac:dyDescent="0.3">
      <c r="B24" t="s">
        <v>38</v>
      </c>
      <c r="C24" s="1">
        <v>4824</v>
      </c>
      <c r="D24" s="1">
        <v>4381</v>
      </c>
      <c r="E24" s="1">
        <v>2625</v>
      </c>
      <c r="F24" s="1">
        <v>2697</v>
      </c>
      <c r="G24" s="1">
        <v>6611</v>
      </c>
      <c r="H24" s="1">
        <v>5129</v>
      </c>
      <c r="I24" s="1">
        <v>3624</v>
      </c>
      <c r="J24" s="1">
        <v>3936</v>
      </c>
      <c r="K24" s="1">
        <v>5625</v>
      </c>
      <c r="Q24" s="1">
        <f>SUM(C24:F24)</f>
        <v>14527</v>
      </c>
      <c r="R24" s="1">
        <f>SUM(G24:J24)</f>
        <v>19300</v>
      </c>
    </row>
    <row r="25" spans="1:18" s="5" customFormat="1" x14ac:dyDescent="0.3">
      <c r="A25" s="4"/>
      <c r="B25" s="4" t="s">
        <v>39</v>
      </c>
      <c r="C25" s="5">
        <f>C23-C24</f>
        <v>28755</v>
      </c>
      <c r="D25" s="5">
        <f>D23-D24</f>
        <v>23630</v>
      </c>
      <c r="E25" s="5">
        <f>E23-E24</f>
        <v>21744</v>
      </c>
      <c r="F25" s="5">
        <f>F23-F24</f>
        <v>20551</v>
      </c>
      <c r="G25" s="5">
        <f>G23-G24</f>
        <v>34630</v>
      </c>
      <c r="H25" s="5">
        <f>H23-H24</f>
        <v>25010</v>
      </c>
      <c r="I25" s="5">
        <f>I23-I24</f>
        <v>19442</v>
      </c>
      <c r="J25" s="5">
        <f>J23-J24</f>
        <v>20721</v>
      </c>
      <c r="K25" s="5">
        <f>K23-K24</f>
        <v>29998</v>
      </c>
      <c r="Q25" s="5">
        <f>Q23-Q24</f>
        <v>94680</v>
      </c>
      <c r="R25" s="5">
        <f>R23-R24</f>
        <v>99803</v>
      </c>
    </row>
    <row r="26" spans="1:18" x14ac:dyDescent="0.3">
      <c r="B26" t="s">
        <v>40</v>
      </c>
      <c r="C26" s="3">
        <f>C25/C27</f>
        <v>1.6979508676614556</v>
      </c>
      <c r="D26" s="3">
        <f>D25/D27</f>
        <v>1.4104535679640453</v>
      </c>
      <c r="E26" s="3">
        <f>E25/E27</f>
        <v>1.3075659927245595</v>
      </c>
      <c r="F26" s="3">
        <f>F25/F27</f>
        <v>1.2464880921296084</v>
      </c>
      <c r="G26" s="3">
        <f>G25/G27</f>
        <v>2.1126514819307598</v>
      </c>
      <c r="H26" s="3">
        <f>H25/H27</f>
        <v>1.5363538422544853</v>
      </c>
      <c r="I26" s="3">
        <f>I25/I27</f>
        <v>1.2028748473746584</v>
      </c>
      <c r="J26" s="3">
        <f>J25/J27</f>
        <v>1.2926079989859256</v>
      </c>
      <c r="K26" s="3">
        <f>K25/K27</f>
        <v>1.8875305383476451</v>
      </c>
      <c r="Q26" s="3">
        <f>Q25/Q27</f>
        <v>5.6690293659822641</v>
      </c>
      <c r="R26" s="3">
        <f>R25/R27</f>
        <v>6.1546143427526578</v>
      </c>
    </row>
    <row r="27" spans="1:18" x14ac:dyDescent="0.3">
      <c r="B27" t="s">
        <v>1</v>
      </c>
      <c r="C27" s="1">
        <v>16935.118999999999</v>
      </c>
      <c r="D27" s="1">
        <v>16753.475999999999</v>
      </c>
      <c r="E27" s="1">
        <v>16629.370999999999</v>
      </c>
      <c r="F27" s="1">
        <v>16487.120999999999</v>
      </c>
      <c r="G27" s="1">
        <v>16391.723999999998</v>
      </c>
      <c r="H27" s="1">
        <v>16278.802</v>
      </c>
      <c r="I27" s="1">
        <v>16162.945</v>
      </c>
      <c r="J27" s="1">
        <v>16030.382</v>
      </c>
      <c r="K27" s="1">
        <v>15892.723</v>
      </c>
      <c r="Q27" s="1">
        <f>AVERAGE(C27:F27)</f>
        <v>16701.27175</v>
      </c>
      <c r="R27" s="1">
        <f>AVERAGE(G27:J27)</f>
        <v>16215.963249999999</v>
      </c>
    </row>
    <row r="29" spans="1:18" x14ac:dyDescent="0.3">
      <c r="B29" t="s">
        <v>84</v>
      </c>
      <c r="H29" s="6">
        <f t="shared" ref="H29:J29" si="1">H15/D15-1</f>
        <v>8.5885872477228009E-2</v>
      </c>
      <c r="I29" s="6">
        <f t="shared" si="1"/>
        <v>1.8726821720657316E-2</v>
      </c>
      <c r="J29" s="6">
        <f t="shared" si="1"/>
        <v>8.1405950095969182E-2</v>
      </c>
      <c r="K29" s="6">
        <f>K15/G15-1</f>
        <v>-5.4790431239662762E-2</v>
      </c>
      <c r="R29" s="6">
        <f>R15/Q15-1</f>
        <v>7.7937876041846099E-2</v>
      </c>
    </row>
    <row r="30" spans="1:18" x14ac:dyDescent="0.3">
      <c r="B30" t="s">
        <v>85</v>
      </c>
      <c r="H30" s="6">
        <f t="shared" ref="H30:J33" si="2">H3/D3-1</f>
        <v>5.4904251324627618E-2</v>
      </c>
      <c r="I30" s="6">
        <f t="shared" si="2"/>
        <v>2.7672479150871787E-2</v>
      </c>
      <c r="J30" s="6">
        <f t="shared" si="2"/>
        <v>9.6686220026757308E-2</v>
      </c>
      <c r="K30" s="6">
        <f>K3/G3-1</f>
        <v>-8.1713854917071505E-2</v>
      </c>
      <c r="R30" s="6">
        <f>R3/Q3-1</f>
        <v>7.0405734139696641E-2</v>
      </c>
    </row>
    <row r="31" spans="1:18" x14ac:dyDescent="0.3">
      <c r="B31" t="s">
        <v>86</v>
      </c>
      <c r="H31" s="6">
        <f t="shared" si="2"/>
        <v>0.14645132937815863</v>
      </c>
      <c r="I31" s="6">
        <f t="shared" si="2"/>
        <v>-0.10358227079538551</v>
      </c>
      <c r="J31" s="6">
        <f t="shared" si="2"/>
        <v>0.25386794508607546</v>
      </c>
      <c r="K31" s="6">
        <f t="shared" ref="K31:K33" si="3">K4/G4-1</f>
        <v>-0.28722816070770363</v>
      </c>
      <c r="R31" s="6">
        <f t="shared" ref="R31:R33" si="4">R4/Q4-1</f>
        <v>0.14171639670360903</v>
      </c>
    </row>
    <row r="32" spans="1:18" x14ac:dyDescent="0.3">
      <c r="B32" t="s">
        <v>87</v>
      </c>
      <c r="H32" s="6">
        <f t="shared" si="2"/>
        <v>-2.0622518252849997E-2</v>
      </c>
      <c r="I32" s="6">
        <f t="shared" si="2"/>
        <v>-1.9543973941368087E-2</v>
      </c>
      <c r="J32" s="6">
        <f t="shared" si="2"/>
        <v>-0.13063499757634511</v>
      </c>
      <c r="K32" s="6">
        <f t="shared" si="3"/>
        <v>0.29635761589403975</v>
      </c>
      <c r="R32" s="6">
        <f t="shared" si="4"/>
        <v>-8.0660347749670458E-2</v>
      </c>
    </row>
    <row r="33" spans="1:18" x14ac:dyDescent="0.3">
      <c r="B33" t="s">
        <v>88</v>
      </c>
      <c r="H33" s="6">
        <f t="shared" si="2"/>
        <v>0.12378764675855036</v>
      </c>
      <c r="I33" s="6">
        <f t="shared" si="2"/>
        <v>-7.8746438746438718E-2</v>
      </c>
      <c r="J33" s="6">
        <f t="shared" si="2"/>
        <v>9.8463289698349499E-2</v>
      </c>
      <c r="K33" s="6">
        <f t="shared" si="3"/>
        <v>-8.2919529283722149E-2</v>
      </c>
      <c r="R33" s="6">
        <f>R6/Q6-1</f>
        <v>7.4908124169208001E-2</v>
      </c>
    </row>
    <row r="34" spans="1:18" x14ac:dyDescent="0.3">
      <c r="B34" t="s">
        <v>89</v>
      </c>
      <c r="H34" s="6">
        <f t="shared" ref="H34:J34" si="5">H11/D11-1</f>
        <v>0.17277084196201398</v>
      </c>
      <c r="I34" s="6">
        <f t="shared" si="5"/>
        <v>0.12112547180601618</v>
      </c>
      <c r="J34" s="6">
        <f t="shared" si="5"/>
        <v>4.984406631285232E-2</v>
      </c>
      <c r="K34" s="6">
        <f>K11/G11-1</f>
        <v>6.4050010248001721E-2</v>
      </c>
      <c r="R34" s="6">
        <f>R11/Q11-1</f>
        <v>0.14181951041286078</v>
      </c>
    </row>
    <row r="36" spans="1:18" x14ac:dyDescent="0.3">
      <c r="B36" t="s">
        <v>90</v>
      </c>
      <c r="C36" s="6">
        <f t="shared" ref="C36:J36" si="6">C9/C7</f>
        <v>0.35063441961579467</v>
      </c>
      <c r="D36" s="6">
        <f t="shared" si="6"/>
        <v>0.3609647372838215</v>
      </c>
      <c r="E36" s="6">
        <f t="shared" si="6"/>
        <v>0.36043347720022517</v>
      </c>
      <c r="F36" s="6">
        <f t="shared" si="6"/>
        <v>0.34253184395310604</v>
      </c>
      <c r="G36" s="6">
        <f t="shared" si="6"/>
        <v>0.38418446983117716</v>
      </c>
      <c r="H36" s="6">
        <f t="shared" si="6"/>
        <v>0.36364692668190091</v>
      </c>
      <c r="I36" s="6">
        <f t="shared" si="6"/>
        <v>0.34519769552521506</v>
      </c>
      <c r="J36" s="6">
        <f t="shared" si="6"/>
        <v>0.34627526142224979</v>
      </c>
      <c r="K36" s="6">
        <f>K9/K7</f>
        <v>0.36957920073038136</v>
      </c>
      <c r="Q36" s="6">
        <f>Q9/Q7</f>
        <v>0.35349303276483562</v>
      </c>
      <c r="R36" s="6">
        <f>R9/R7</f>
        <v>0.36283479707399452</v>
      </c>
    </row>
    <row r="37" spans="1:18" x14ac:dyDescent="0.3">
      <c r="B37" t="s">
        <v>91</v>
      </c>
      <c r="C37" s="6">
        <f t="shared" ref="C37:J37" si="7">C13/C11</f>
        <v>0.6839667533785927</v>
      </c>
      <c r="D37" s="6">
        <f t="shared" si="7"/>
        <v>0.70072776758771671</v>
      </c>
      <c r="E37" s="6">
        <f t="shared" si="7"/>
        <v>0.69804414960539862</v>
      </c>
      <c r="F37" s="6">
        <f t="shared" si="7"/>
        <v>0.704765552333534</v>
      </c>
      <c r="G37" s="6">
        <f t="shared" si="7"/>
        <v>0.72366263578602175</v>
      </c>
      <c r="H37" s="6">
        <f t="shared" si="7"/>
        <v>0.72609858231168967</v>
      </c>
      <c r="I37" s="6">
        <f t="shared" si="7"/>
        <v>0.71490512140379514</v>
      </c>
      <c r="J37" s="6">
        <f t="shared" si="7"/>
        <v>0.70481550969355844</v>
      </c>
      <c r="K37" s="6">
        <f>K13/K11</f>
        <v>0.70832129442357705</v>
      </c>
      <c r="Q37" s="6">
        <f>Q13/Q11</f>
        <v>0.69725977347460721</v>
      </c>
      <c r="R37" s="6">
        <f>R13/R11</f>
        <v>0.71745446633132381</v>
      </c>
    </row>
    <row r="38" spans="1:18" x14ac:dyDescent="0.3">
      <c r="B38" t="s">
        <v>92</v>
      </c>
      <c r="C38" s="6">
        <f t="shared" ref="C38:J38" si="8">C17/C15</f>
        <v>0.39777815665969724</v>
      </c>
      <c r="D38" s="6">
        <f t="shared" si="8"/>
        <v>0.42506474370423292</v>
      </c>
      <c r="E38" s="6">
        <f t="shared" si="8"/>
        <v>0.43292727853230839</v>
      </c>
      <c r="F38" s="6">
        <f t="shared" si="8"/>
        <v>0.42195297504798462</v>
      </c>
      <c r="G38" s="6">
        <f t="shared" si="8"/>
        <v>0.43763766186615033</v>
      </c>
      <c r="H38" s="6">
        <f t="shared" si="8"/>
        <v>0.43749871502292398</v>
      </c>
      <c r="I38" s="6">
        <f t="shared" si="8"/>
        <v>0.43256307332537758</v>
      </c>
      <c r="J38" s="6">
        <f t="shared" si="8"/>
        <v>0.4225922392563175</v>
      </c>
      <c r="K38" s="6">
        <f>K17/K15</f>
        <v>0.42962254809908323</v>
      </c>
      <c r="Q38" s="6">
        <f>Q17/Q15</f>
        <v>0.41779359625167778</v>
      </c>
      <c r="R38" s="6">
        <f>R17/R15</f>
        <v>0.43309630561360085</v>
      </c>
    </row>
    <row r="41" spans="1:18" s="5" customFormat="1" x14ac:dyDescent="0.3">
      <c r="A41" s="4"/>
      <c r="B41" s="4" t="s">
        <v>42</v>
      </c>
      <c r="H41" s="5">
        <f>H42-H54</f>
        <v>72749</v>
      </c>
      <c r="I41" s="5">
        <f>I42-I54</f>
        <v>59617</v>
      </c>
      <c r="J41" s="5">
        <f>J42-J54</f>
        <v>49040</v>
      </c>
      <c r="K41" s="5">
        <f>K42-K54</f>
        <v>54340</v>
      </c>
    </row>
    <row r="42" spans="1:18" x14ac:dyDescent="0.3">
      <c r="B42" t="s">
        <v>3</v>
      </c>
      <c r="H42" s="1">
        <f>28098+23413+141219</f>
        <v>192730</v>
      </c>
      <c r="I42" s="1">
        <f>27502+20729+131077</f>
        <v>179308</v>
      </c>
      <c r="J42" s="1">
        <f>23646+24658+120805</f>
        <v>169109</v>
      </c>
      <c r="K42" s="1">
        <f>20535+30820+114095</f>
        <v>165450</v>
      </c>
    </row>
    <row r="43" spans="1:18" x14ac:dyDescent="0.3">
      <c r="B43" t="s">
        <v>43</v>
      </c>
      <c r="H43" s="1">
        <v>20815</v>
      </c>
      <c r="I43" s="1">
        <v>21803</v>
      </c>
      <c r="J43" s="1">
        <v>28184</v>
      </c>
      <c r="K43" s="1">
        <v>23752</v>
      </c>
    </row>
    <row r="44" spans="1:18" x14ac:dyDescent="0.3">
      <c r="B44" t="s">
        <v>44</v>
      </c>
      <c r="H44" s="1">
        <v>5460</v>
      </c>
      <c r="I44" s="1">
        <v>5433</v>
      </c>
      <c r="J44" s="1">
        <v>4946</v>
      </c>
      <c r="K44" s="1">
        <v>6820</v>
      </c>
    </row>
    <row r="45" spans="1:18" x14ac:dyDescent="0.3">
      <c r="B45" t="s">
        <v>45</v>
      </c>
      <c r="H45" s="1">
        <v>24585</v>
      </c>
      <c r="I45" s="1">
        <v>20439</v>
      </c>
      <c r="J45" s="1">
        <v>32748</v>
      </c>
      <c r="K45" s="1">
        <v>30428</v>
      </c>
    </row>
    <row r="46" spans="1:18" x14ac:dyDescent="0.3">
      <c r="B46" t="s">
        <v>46</v>
      </c>
      <c r="H46" s="1">
        <v>15809</v>
      </c>
      <c r="I46" s="1">
        <v>16386</v>
      </c>
      <c r="J46" s="1">
        <v>21223</v>
      </c>
      <c r="K46" s="1">
        <v>16422</v>
      </c>
    </row>
    <row r="47" spans="1:18" x14ac:dyDescent="0.3">
      <c r="B47" t="s">
        <v>47</v>
      </c>
      <c r="H47" s="1">
        <v>39304</v>
      </c>
      <c r="I47" s="1">
        <v>40335</v>
      </c>
      <c r="J47" s="1">
        <v>42117</v>
      </c>
      <c r="K47" s="1">
        <v>42951</v>
      </c>
    </row>
    <row r="48" spans="1:18" x14ac:dyDescent="0.3">
      <c r="B48" t="s">
        <v>48</v>
      </c>
      <c r="H48" s="1">
        <v>51959</v>
      </c>
      <c r="I48" s="1">
        <v>52605</v>
      </c>
      <c r="J48" s="1">
        <v>54428</v>
      </c>
      <c r="K48" s="1">
        <v>60924</v>
      </c>
    </row>
    <row r="49" spans="2:11" x14ac:dyDescent="0.3">
      <c r="B49" t="s">
        <v>49</v>
      </c>
      <c r="H49" s="1">
        <f>SUM(H42:H48)</f>
        <v>350662</v>
      </c>
      <c r="I49" s="1">
        <f>SUM(I42:I48)</f>
        <v>336309</v>
      </c>
      <c r="J49" s="1">
        <f>SUM(J42:J48)</f>
        <v>352755</v>
      </c>
      <c r="K49" s="1">
        <f>SUM(K42:K48)</f>
        <v>346747</v>
      </c>
    </row>
    <row r="51" spans="2:11" x14ac:dyDescent="0.3">
      <c r="B51" t="s">
        <v>50</v>
      </c>
      <c r="H51" s="1">
        <v>52682</v>
      </c>
      <c r="I51" s="1">
        <v>48343</v>
      </c>
      <c r="J51" s="1">
        <v>64115</v>
      </c>
      <c r="K51" s="1">
        <v>57918</v>
      </c>
    </row>
    <row r="52" spans="2:11" x14ac:dyDescent="0.3">
      <c r="B52" t="s">
        <v>51</v>
      </c>
      <c r="H52" s="1">
        <v>50248</v>
      </c>
      <c r="I52" s="1">
        <v>48811</v>
      </c>
      <c r="J52" s="1">
        <v>60845</v>
      </c>
      <c r="K52" s="1">
        <v>59893</v>
      </c>
    </row>
    <row r="53" spans="2:11" x14ac:dyDescent="0.3">
      <c r="B53" t="s">
        <v>52</v>
      </c>
      <c r="H53" s="1">
        <v>7920</v>
      </c>
      <c r="I53" s="1">
        <v>7728</v>
      </c>
      <c r="J53" s="1">
        <v>7912</v>
      </c>
      <c r="K53" s="1">
        <v>7992</v>
      </c>
    </row>
    <row r="54" spans="2:11" x14ac:dyDescent="0.3">
      <c r="B54" t="s">
        <v>4</v>
      </c>
      <c r="H54" s="1">
        <f>6999+9659+103323</f>
        <v>119981</v>
      </c>
      <c r="I54" s="1">
        <f>10982+14009+94700</f>
        <v>119691</v>
      </c>
      <c r="J54" s="1">
        <f>9982+11128+98959</f>
        <v>120069</v>
      </c>
      <c r="K54" s="1">
        <f>1743+9740+99627</f>
        <v>111110</v>
      </c>
    </row>
    <row r="55" spans="2:11" x14ac:dyDescent="0.3">
      <c r="B55" t="s">
        <v>53</v>
      </c>
      <c r="H55" s="1">
        <v>52432</v>
      </c>
      <c r="I55" s="1">
        <v>53629</v>
      </c>
      <c r="J55" s="1">
        <v>49142</v>
      </c>
      <c r="K55" s="1">
        <v>53107</v>
      </c>
    </row>
    <row r="56" spans="2:11" x14ac:dyDescent="0.3">
      <c r="B56" t="s">
        <v>54</v>
      </c>
      <c r="H56" s="1">
        <f>SUM(H51:H55)</f>
        <v>283263</v>
      </c>
      <c r="I56" s="1">
        <f>SUM(I51:I55)</f>
        <v>278202</v>
      </c>
      <c r="J56" s="1">
        <f>SUM(J51:J55)</f>
        <v>302083</v>
      </c>
      <c r="K56" s="1">
        <f>SUM(K51:K55)</f>
        <v>290020</v>
      </c>
    </row>
    <row r="57" spans="2:11" x14ac:dyDescent="0.3">
      <c r="B57" t="s">
        <v>55</v>
      </c>
      <c r="H57" s="1">
        <v>67399</v>
      </c>
      <c r="I57" s="1">
        <v>58107</v>
      </c>
      <c r="J57" s="1">
        <v>50672</v>
      </c>
      <c r="K57" s="1">
        <v>56727</v>
      </c>
    </row>
    <row r="58" spans="2:11" x14ac:dyDescent="0.3">
      <c r="B58" t="s">
        <v>56</v>
      </c>
      <c r="H58" s="1">
        <f>SUM(H56:H57)</f>
        <v>350662</v>
      </c>
      <c r="I58" s="1">
        <f>SUM(I56:I57)</f>
        <v>336309</v>
      </c>
      <c r="J58" s="1">
        <f>SUM(J56:J57)</f>
        <v>352755</v>
      </c>
      <c r="K58" s="1">
        <f>SUM(K56:K57)</f>
        <v>346747</v>
      </c>
    </row>
    <row r="61" spans="2:11" x14ac:dyDescent="0.3">
      <c r="B61" t="s">
        <v>57</v>
      </c>
      <c r="K61" s="1">
        <f>K25</f>
        <v>29998</v>
      </c>
    </row>
    <row r="62" spans="2:11" x14ac:dyDescent="0.3">
      <c r="B62" t="s">
        <v>58</v>
      </c>
      <c r="K62" s="1">
        <v>29998</v>
      </c>
    </row>
    <row r="63" spans="2:11" x14ac:dyDescent="0.3">
      <c r="B63" t="s">
        <v>59</v>
      </c>
      <c r="K63" s="1">
        <v>2916</v>
      </c>
    </row>
    <row r="64" spans="2:11" x14ac:dyDescent="0.3">
      <c r="B64" t="s">
        <v>60</v>
      </c>
      <c r="K64" s="1">
        <v>2905</v>
      </c>
    </row>
    <row r="65" spans="2:11" x14ac:dyDescent="0.3">
      <c r="B65" t="s">
        <v>61</v>
      </c>
      <c r="K65" s="1">
        <v>-317</v>
      </c>
    </row>
    <row r="66" spans="2:11" x14ac:dyDescent="0.3">
      <c r="B66" t="s">
        <v>62</v>
      </c>
      <c r="K66" s="1">
        <v>4275</v>
      </c>
    </row>
    <row r="67" spans="2:11" x14ac:dyDescent="0.3">
      <c r="B67" t="s">
        <v>63</v>
      </c>
      <c r="K67" s="1">
        <v>-1807</v>
      </c>
    </row>
    <row r="68" spans="2:11" x14ac:dyDescent="0.3">
      <c r="B68" t="s">
        <v>45</v>
      </c>
      <c r="K68" s="1">
        <v>2320</v>
      </c>
    </row>
    <row r="69" spans="2:11" x14ac:dyDescent="0.3">
      <c r="B69" t="s">
        <v>64</v>
      </c>
      <c r="K69" s="1">
        <v>-4099</v>
      </c>
    </row>
    <row r="70" spans="2:11" x14ac:dyDescent="0.3">
      <c r="B70" t="s">
        <v>50</v>
      </c>
      <c r="K70" s="1">
        <v>-6075</v>
      </c>
    </row>
    <row r="71" spans="2:11" x14ac:dyDescent="0.3">
      <c r="B71" t="s">
        <v>52</v>
      </c>
      <c r="K71" s="1">
        <v>131</v>
      </c>
    </row>
    <row r="72" spans="2:11" x14ac:dyDescent="0.3">
      <c r="B72" t="s">
        <v>65</v>
      </c>
      <c r="K72" s="1">
        <v>3758</v>
      </c>
    </row>
    <row r="73" spans="2:11" x14ac:dyDescent="0.3">
      <c r="B73" t="s">
        <v>66</v>
      </c>
      <c r="K73" s="1">
        <f>SUM(K62:K72)</f>
        <v>34005</v>
      </c>
    </row>
    <row r="75" spans="2:11" x14ac:dyDescent="0.3">
      <c r="B75" t="s">
        <v>67</v>
      </c>
      <c r="K75" s="1">
        <v>-5153</v>
      </c>
    </row>
    <row r="76" spans="2:11" x14ac:dyDescent="0.3">
      <c r="B76" t="s">
        <v>68</v>
      </c>
      <c r="K76" s="1">
        <v>7127</v>
      </c>
    </row>
    <row r="77" spans="2:11" x14ac:dyDescent="0.3">
      <c r="B77" t="s">
        <v>69</v>
      </c>
      <c r="K77" s="1">
        <v>509</v>
      </c>
    </row>
    <row r="78" spans="2:11" x14ac:dyDescent="0.3">
      <c r="B78" t="s">
        <v>70</v>
      </c>
      <c r="K78" s="1">
        <v>-3787</v>
      </c>
    </row>
    <row r="79" spans="2:11" x14ac:dyDescent="0.3">
      <c r="B79" t="s">
        <v>61</v>
      </c>
      <c r="K79" s="1">
        <v>-141</v>
      </c>
    </row>
    <row r="80" spans="2:11" x14ac:dyDescent="0.3">
      <c r="B80" t="s">
        <v>71</v>
      </c>
      <c r="K80" s="1">
        <f>SUM(K75:K79)</f>
        <v>-1445</v>
      </c>
    </row>
    <row r="82" spans="1:11" x14ac:dyDescent="0.3">
      <c r="B82" t="s">
        <v>72</v>
      </c>
      <c r="K82" s="1">
        <v>-2316</v>
      </c>
    </row>
    <row r="83" spans="1:11" x14ac:dyDescent="0.3">
      <c r="B83" t="s">
        <v>73</v>
      </c>
      <c r="K83" s="1">
        <v>-3768</v>
      </c>
    </row>
    <row r="84" spans="1:11" x14ac:dyDescent="0.3">
      <c r="B84" t="s">
        <v>74</v>
      </c>
      <c r="K84" s="1">
        <v>-19475</v>
      </c>
    </row>
    <row r="85" spans="1:11" x14ac:dyDescent="0.3">
      <c r="B85" t="s">
        <v>75</v>
      </c>
      <c r="K85" s="1">
        <f>+-1401+-8214</f>
        <v>-9615</v>
      </c>
    </row>
    <row r="86" spans="1:11" x14ac:dyDescent="0.3">
      <c r="B86" t="s">
        <v>61</v>
      </c>
      <c r="K86" s="1">
        <v>-389</v>
      </c>
    </row>
    <row r="87" spans="1:11" x14ac:dyDescent="0.3">
      <c r="B87" t="s">
        <v>76</v>
      </c>
      <c r="K87" s="1">
        <f>SUM(K82:K86)</f>
        <v>-35563</v>
      </c>
    </row>
    <row r="89" spans="1:11" x14ac:dyDescent="0.3">
      <c r="B89" t="s">
        <v>77</v>
      </c>
    </row>
    <row r="90" spans="1:11" x14ac:dyDescent="0.3">
      <c r="B90" t="s">
        <v>78</v>
      </c>
      <c r="K90" s="1">
        <f>K87+K80+K73</f>
        <v>-3003</v>
      </c>
    </row>
    <row r="93" spans="1:11" s="5" customFormat="1" x14ac:dyDescent="0.3">
      <c r="A93"/>
      <c r="B93" s="4" t="s">
        <v>79</v>
      </c>
      <c r="K93" s="5">
        <f>K73+K78</f>
        <v>30218</v>
      </c>
    </row>
  </sheetData>
  <hyperlinks>
    <hyperlink ref="A1" location="Main!A1" display="Main" xr:uid="{E34F5F3D-A53F-4A7D-A52C-ACDB56E64B5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Grenci</dc:creator>
  <cp:lastModifiedBy>Michael Grenci</cp:lastModifiedBy>
  <dcterms:created xsi:type="dcterms:W3CDTF">2015-06-05T18:17:20Z</dcterms:created>
  <dcterms:modified xsi:type="dcterms:W3CDTF">2023-03-23T21:31:40Z</dcterms:modified>
</cp:coreProperties>
</file>