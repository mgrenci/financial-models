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cha\models\financial-models\"/>
    </mc:Choice>
  </mc:AlternateContent>
  <xr:revisionPtr revIDLastSave="0" documentId="13_ncr:1_{14925975-9561-415E-95BD-E2443129B2D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1" i="2" l="1"/>
  <c r="K89" i="2"/>
  <c r="K86" i="2"/>
  <c r="K78" i="2"/>
  <c r="K71" i="2"/>
  <c r="K56" i="2"/>
  <c r="K47" i="2"/>
  <c r="K46" i="2"/>
  <c r="K44" i="2"/>
  <c r="K30" i="2" s="1"/>
  <c r="K31" i="2"/>
  <c r="K41" i="2"/>
  <c r="G17" i="2"/>
  <c r="G12" i="2"/>
  <c r="G11" i="2"/>
  <c r="G13" i="2" s="1"/>
  <c r="G18" i="2" s="1"/>
  <c r="G20" i="2" s="1"/>
  <c r="G22" i="2" s="1"/>
  <c r="G23" i="2" s="1"/>
  <c r="G9" i="2"/>
  <c r="G5" i="2"/>
  <c r="K17" i="2"/>
  <c r="K12" i="2"/>
  <c r="K11" i="2"/>
  <c r="K13" i="2" s="1"/>
  <c r="K9" i="2"/>
  <c r="K5" i="2"/>
  <c r="L30" i="2"/>
  <c r="L86" i="2"/>
  <c r="L78" i="2"/>
  <c r="L71" i="2"/>
  <c r="L91" i="2" s="1"/>
  <c r="L56" i="2"/>
  <c r="L52" i="2"/>
  <c r="L54" i="2" s="1"/>
  <c r="L47" i="2"/>
  <c r="L46" i="2"/>
  <c r="L44" i="2"/>
  <c r="L41" i="2"/>
  <c r="L31" i="2"/>
  <c r="H17" i="2"/>
  <c r="H12" i="2"/>
  <c r="H11" i="2"/>
  <c r="H9" i="2"/>
  <c r="H5" i="2"/>
  <c r="L17" i="2"/>
  <c r="L12" i="2"/>
  <c r="L11" i="2"/>
  <c r="L13" i="2" s="1"/>
  <c r="L18" i="2" s="1"/>
  <c r="L20" i="2" s="1"/>
  <c r="L22" i="2" s="1"/>
  <c r="L23" i="2" s="1"/>
  <c r="L9" i="2"/>
  <c r="L5" i="2"/>
  <c r="Q2" i="2"/>
  <c r="R2" i="2" s="1"/>
  <c r="S2" i="2" s="1"/>
  <c r="T2" i="2" s="1"/>
  <c r="U2" i="2" s="1"/>
  <c r="V2" i="2" s="1"/>
  <c r="W2" i="2" s="1"/>
  <c r="X2" i="2" s="1"/>
  <c r="Y2" i="2" s="1"/>
  <c r="Z2" i="2" s="1"/>
  <c r="L10" i="1"/>
  <c r="L9" i="1"/>
  <c r="L8" i="1"/>
  <c r="L7" i="1"/>
  <c r="L89" i="2" l="1"/>
  <c r="K52" i="2"/>
  <c r="K54" i="2" s="1"/>
  <c r="K18" i="2"/>
  <c r="K20" i="2" s="1"/>
  <c r="K22" i="2" s="1"/>
  <c r="K23" i="2" s="1"/>
  <c r="H13" i="2"/>
  <c r="H18" i="2" s="1"/>
  <c r="H20" i="2" s="1"/>
  <c r="H22" i="2" s="1"/>
  <c r="H23" i="2" s="1"/>
</calcChain>
</file>

<file path=xl/sharedStrings.xml><?xml version="1.0" encoding="utf-8"?>
<sst xmlns="http://schemas.openxmlformats.org/spreadsheetml/2006/main" count="101" uniqueCount="83">
  <si>
    <t xml:space="preserve">Price </t>
  </si>
  <si>
    <t>S/O</t>
  </si>
  <si>
    <t xml:space="preserve">MC </t>
  </si>
  <si>
    <t xml:space="preserve">Cash </t>
  </si>
  <si>
    <t xml:space="preserve">Debt </t>
  </si>
  <si>
    <t xml:space="preserve">EV </t>
  </si>
  <si>
    <t>Q223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</si>
  <si>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</si>
  <si>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</si>
  <si>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</si>
  <si>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</si>
  <si>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</si>
  <si>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</si>
  <si>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</si>
  <si>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</si>
  <si>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</si>
  <si>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Q323</t>
  </si>
  <si>
    <t>Q423</t>
  </si>
  <si>
    <t>June 30/2022</t>
  </si>
  <si>
    <t>Dec 31/2022</t>
  </si>
  <si>
    <t xml:space="preserve">Revenue </t>
  </si>
  <si>
    <t xml:space="preserve">Product </t>
  </si>
  <si>
    <t xml:space="preserve">Service and other </t>
  </si>
  <si>
    <t xml:space="preserve">COGS products </t>
  </si>
  <si>
    <t>Gross Profit products</t>
  </si>
  <si>
    <t xml:space="preserve">COGS service </t>
  </si>
  <si>
    <t xml:space="preserve">Gross Profit service </t>
  </si>
  <si>
    <t xml:space="preserve">COGS </t>
  </si>
  <si>
    <t xml:space="preserve">Gross Profit </t>
  </si>
  <si>
    <t xml:space="preserve">R&amp;D </t>
  </si>
  <si>
    <t xml:space="preserve">S&amp;M </t>
  </si>
  <si>
    <t xml:space="preserve">G&amp;A </t>
  </si>
  <si>
    <t xml:space="preserve">Operating Expenses </t>
  </si>
  <si>
    <t xml:space="preserve">Operating Income </t>
  </si>
  <si>
    <t xml:space="preserve">Other Income </t>
  </si>
  <si>
    <t xml:space="preserve">Pretax Income </t>
  </si>
  <si>
    <t xml:space="preserve">Taxes </t>
  </si>
  <si>
    <t xml:space="preserve">Net Income </t>
  </si>
  <si>
    <t xml:space="preserve">EPS </t>
  </si>
  <si>
    <t xml:space="preserve">Net Cash </t>
  </si>
  <si>
    <t>A/R</t>
  </si>
  <si>
    <t xml:space="preserve">Inventories </t>
  </si>
  <si>
    <t xml:space="preserve">OCA </t>
  </si>
  <si>
    <t xml:space="preserve">PP&amp;E </t>
  </si>
  <si>
    <t xml:space="preserve">Operating lease </t>
  </si>
  <si>
    <t xml:space="preserve">Equity Investments </t>
  </si>
  <si>
    <t xml:space="preserve">Goodwill </t>
  </si>
  <si>
    <t xml:space="preserve">Intangible </t>
  </si>
  <si>
    <t xml:space="preserve">ONCA </t>
  </si>
  <si>
    <t xml:space="preserve">Assets </t>
  </si>
  <si>
    <t>A/P</t>
  </si>
  <si>
    <t xml:space="preserve">Compensation </t>
  </si>
  <si>
    <t xml:space="preserve">Unearned revenue </t>
  </si>
  <si>
    <t xml:space="preserve">OCL </t>
  </si>
  <si>
    <t xml:space="preserve">DT </t>
  </si>
  <si>
    <t xml:space="preserve">ONCL </t>
  </si>
  <si>
    <t xml:space="preserve">Liabilities </t>
  </si>
  <si>
    <t>S/E</t>
  </si>
  <si>
    <t>L + S/E</t>
  </si>
  <si>
    <t xml:space="preserve">Model NI </t>
  </si>
  <si>
    <t xml:space="preserve">Reported NI </t>
  </si>
  <si>
    <t xml:space="preserve">D&amp;A </t>
  </si>
  <si>
    <t xml:space="preserve">SBC </t>
  </si>
  <si>
    <t xml:space="preserve">Investments </t>
  </si>
  <si>
    <t xml:space="preserve">Income taxes </t>
  </si>
  <si>
    <t xml:space="preserve">CFFO </t>
  </si>
  <si>
    <t xml:space="preserve">Repayments debt </t>
  </si>
  <si>
    <t xml:space="preserve">Stock issued </t>
  </si>
  <si>
    <t xml:space="preserve">Stock repurchased </t>
  </si>
  <si>
    <t xml:space="preserve">Dividends </t>
  </si>
  <si>
    <t xml:space="preserve">Other </t>
  </si>
  <si>
    <t xml:space="preserve">CFFF </t>
  </si>
  <si>
    <t xml:space="preserve">CapEx </t>
  </si>
  <si>
    <t xml:space="preserve">Acquisitions </t>
  </si>
  <si>
    <t>Purchases investment</t>
  </si>
  <si>
    <t>Main</t>
  </si>
  <si>
    <t xml:space="preserve">Maturities investment </t>
  </si>
  <si>
    <t xml:space="preserve">Sales investment </t>
  </si>
  <si>
    <t xml:space="preserve">CFFI </t>
  </si>
  <si>
    <t xml:space="preserve">FX </t>
  </si>
  <si>
    <t xml:space="preserve">CIC </t>
  </si>
  <si>
    <t xml:space="preserve">FCF </t>
  </si>
  <si>
    <t>Sept 30/2022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</si>
</sst>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5:M10"/>
  <sheetViews>
    <sheetView workbookViewId="0">
      <selection activeCell="J12" sqref="J12"/>
    </sheetView>
  </sheetViews>
  <sheetFormatPr defaultRowHeight="14.4" x14ac:dyDescent="0.3"/>
  <sheetData>
    <row r="5" spans="11:13" x14ac:dyDescent="0.3">
      <c r="K5" t="s">
        <v>0</v>
      </c>
      <c r="L5">
        <v>277.66000000000003</v>
      </c>
    </row>
    <row r="6" spans="11:13" x14ac:dyDescent="0.3">
      <c r="K6" t="s">
        <v>1</v>
      </c>
      <c r="L6" s="1">
        <v>7443.8035330000002</v>
      </c>
      <c r="M6" t="s">
        <v>6</v>
      </c>
    </row>
    <row r="7" spans="11:13" x14ac:dyDescent="0.3">
      <c r="K7" t="s">
        <v>2</v>
      </c>
      <c r="L7" s="1">
        <f>L5*L6</f>
        <v>2066846.4889727803</v>
      </c>
    </row>
    <row r="8" spans="11:13" x14ac:dyDescent="0.3">
      <c r="K8" t="s">
        <v>3</v>
      </c>
      <c r="L8" s="1">
        <f>15646+83862</f>
        <v>99508</v>
      </c>
      <c r="M8" t="s">
        <v>6</v>
      </c>
    </row>
    <row r="9" spans="11:13" x14ac:dyDescent="0.3">
      <c r="K9" t="s">
        <v>4</v>
      </c>
      <c r="L9" s="1">
        <f>3997+44119</f>
        <v>48116</v>
      </c>
      <c r="M9" t="s">
        <v>6</v>
      </c>
    </row>
    <row r="10" spans="11:13" x14ac:dyDescent="0.3">
      <c r="K10" t="s">
        <v>5</v>
      </c>
      <c r="L10" s="1">
        <f>L7-L8+L9</f>
        <v>2015454.4889727803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EDE3-B1CE-426F-B018-F545AC97259D}">
  <dimension ref="A1:Z9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92" sqref="L92"/>
    </sheetView>
  </sheetViews>
  <sheetFormatPr defaultRowHeight="14.4" x14ac:dyDescent="0.3"/>
  <cols>
    <col min="1" max="1" width="5.109375" bestFit="1" customWidth="1"/>
    <col min="2" max="2" width="19.44140625" bestFit="1" customWidth="1"/>
    <col min="3" max="16384" width="8.88671875" style="1"/>
  </cols>
  <sheetData>
    <row r="1" spans="1:26" customFormat="1" x14ac:dyDescent="0.3">
      <c r="A1" s="5" t="s">
        <v>75</v>
      </c>
      <c r="J1" t="s">
        <v>18</v>
      </c>
      <c r="K1" t="s">
        <v>82</v>
      </c>
      <c r="L1" t="s">
        <v>19</v>
      </c>
    </row>
    <row r="2" spans="1:26" customFormat="1" x14ac:dyDescent="0.3"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6</v>
      </c>
      <c r="M2" t="s">
        <v>16</v>
      </c>
      <c r="N2" t="s">
        <v>17</v>
      </c>
      <c r="P2">
        <v>2020</v>
      </c>
      <c r="Q2">
        <f>P2+1</f>
        <v>2021</v>
      </c>
      <c r="R2">
        <f t="shared" ref="R2:Z2" si="0">Q2+1</f>
        <v>2022</v>
      </c>
      <c r="S2">
        <f t="shared" si="0"/>
        <v>2023</v>
      </c>
      <c r="T2">
        <f t="shared" si="0"/>
        <v>2024</v>
      </c>
      <c r="U2">
        <f t="shared" si="0"/>
        <v>2025</v>
      </c>
      <c r="V2">
        <f t="shared" si="0"/>
        <v>2026</v>
      </c>
      <c r="W2">
        <f t="shared" si="0"/>
        <v>2027</v>
      </c>
      <c r="X2">
        <f t="shared" si="0"/>
        <v>2028</v>
      </c>
      <c r="Y2">
        <f t="shared" si="0"/>
        <v>2029</v>
      </c>
      <c r="Z2">
        <f t="shared" si="0"/>
        <v>2030</v>
      </c>
    </row>
    <row r="3" spans="1:26" x14ac:dyDescent="0.3">
      <c r="B3" t="s">
        <v>21</v>
      </c>
      <c r="G3" s="1">
        <v>16631</v>
      </c>
      <c r="H3" s="1">
        <v>20779</v>
      </c>
      <c r="K3" s="1">
        <v>15741</v>
      </c>
      <c r="L3" s="1">
        <v>16517</v>
      </c>
    </row>
    <row r="4" spans="1:26" x14ac:dyDescent="0.3">
      <c r="B4" t="s">
        <v>23</v>
      </c>
      <c r="G4" s="1">
        <v>3792</v>
      </c>
      <c r="H4" s="1">
        <v>6331</v>
      </c>
      <c r="K4" s="1">
        <v>4302</v>
      </c>
      <c r="L4" s="1">
        <v>5690</v>
      </c>
    </row>
    <row r="5" spans="1:26" x14ac:dyDescent="0.3">
      <c r="B5" t="s">
        <v>24</v>
      </c>
      <c r="G5" s="1">
        <f>G3-G4</f>
        <v>12839</v>
      </c>
      <c r="H5" s="1">
        <f>H3-H4</f>
        <v>14448</v>
      </c>
      <c r="K5" s="1">
        <f>K3-K4</f>
        <v>11439</v>
      </c>
      <c r="L5" s="1">
        <f>L3-L4</f>
        <v>10827</v>
      </c>
    </row>
    <row r="7" spans="1:26" x14ac:dyDescent="0.3">
      <c r="B7" t="s">
        <v>22</v>
      </c>
      <c r="G7" s="1">
        <v>28686</v>
      </c>
      <c r="H7" s="1">
        <v>30949</v>
      </c>
      <c r="K7" s="1">
        <v>34381</v>
      </c>
      <c r="L7" s="1">
        <v>36230</v>
      </c>
    </row>
    <row r="8" spans="1:26" x14ac:dyDescent="0.3">
      <c r="B8" t="s">
        <v>25</v>
      </c>
      <c r="G8" s="1">
        <v>9854</v>
      </c>
      <c r="H8" s="1">
        <v>10629</v>
      </c>
      <c r="K8" s="1">
        <v>11150</v>
      </c>
      <c r="L8" s="1">
        <v>11798</v>
      </c>
    </row>
    <row r="9" spans="1:26" x14ac:dyDescent="0.3">
      <c r="B9" t="s">
        <v>26</v>
      </c>
      <c r="G9" s="1">
        <f>G7-G8</f>
        <v>18832</v>
      </c>
      <c r="H9" s="1">
        <f>H7-H8</f>
        <v>20320</v>
      </c>
      <c r="K9" s="1">
        <f>K7-K8</f>
        <v>23231</v>
      </c>
      <c r="L9" s="1">
        <f>L7-L8</f>
        <v>24432</v>
      </c>
    </row>
    <row r="11" spans="1:26" x14ac:dyDescent="0.3">
      <c r="B11" t="s">
        <v>20</v>
      </c>
      <c r="G11" s="1">
        <f>G7+G3</f>
        <v>45317</v>
      </c>
      <c r="H11" s="1">
        <f>H7+H3</f>
        <v>51728</v>
      </c>
      <c r="K11" s="1">
        <f>K7+K3</f>
        <v>50122</v>
      </c>
      <c r="L11" s="1">
        <f>L7+L3</f>
        <v>52747</v>
      </c>
    </row>
    <row r="12" spans="1:26" x14ac:dyDescent="0.3">
      <c r="B12" t="s">
        <v>27</v>
      </c>
      <c r="G12" s="1">
        <f>G8+G4</f>
        <v>13646</v>
      </c>
      <c r="H12" s="1">
        <f>H8+H4</f>
        <v>16960</v>
      </c>
      <c r="K12" s="1">
        <f>K8+K4</f>
        <v>15452</v>
      </c>
      <c r="L12" s="1">
        <f>L8+L4</f>
        <v>17488</v>
      </c>
    </row>
    <row r="13" spans="1:26" x14ac:dyDescent="0.3">
      <c r="B13" t="s">
        <v>28</v>
      </c>
      <c r="G13" s="1">
        <f>G11-G12</f>
        <v>31671</v>
      </c>
      <c r="H13" s="1">
        <f>H11-H12</f>
        <v>34768</v>
      </c>
      <c r="K13" s="1">
        <f>K11-K12</f>
        <v>34670</v>
      </c>
      <c r="L13" s="1">
        <f>L11-L12</f>
        <v>35259</v>
      </c>
    </row>
    <row r="14" spans="1:26" x14ac:dyDescent="0.3">
      <c r="B14" t="s">
        <v>29</v>
      </c>
      <c r="G14" s="1">
        <v>5599</v>
      </c>
      <c r="H14" s="1">
        <v>5758</v>
      </c>
      <c r="K14" s="1">
        <v>6628</v>
      </c>
      <c r="L14" s="1">
        <v>6844</v>
      </c>
    </row>
    <row r="15" spans="1:26" x14ac:dyDescent="0.3">
      <c r="B15" t="s">
        <v>30</v>
      </c>
      <c r="G15" s="1">
        <v>4547</v>
      </c>
      <c r="H15" s="1">
        <v>5379</v>
      </c>
      <c r="K15" s="1">
        <v>5126</v>
      </c>
      <c r="L15" s="1">
        <v>5679</v>
      </c>
    </row>
    <row r="16" spans="1:26" x14ac:dyDescent="0.3">
      <c r="B16" t="s">
        <v>31</v>
      </c>
      <c r="G16" s="1">
        <v>1287</v>
      </c>
      <c r="H16" s="1">
        <v>1384</v>
      </c>
      <c r="K16" s="1">
        <v>1398</v>
      </c>
      <c r="L16" s="1">
        <v>2337</v>
      </c>
    </row>
    <row r="17" spans="1:12" x14ac:dyDescent="0.3">
      <c r="B17" t="s">
        <v>32</v>
      </c>
      <c r="G17" s="1">
        <f>SUM(G14:G16)</f>
        <v>11433</v>
      </c>
      <c r="H17" s="1">
        <f>SUM(H14:H16)</f>
        <v>12521</v>
      </c>
      <c r="K17" s="1">
        <f>SUM(K14:K16)</f>
        <v>13152</v>
      </c>
      <c r="L17" s="1">
        <f>SUM(L14:L16)</f>
        <v>14860</v>
      </c>
    </row>
    <row r="18" spans="1:12" x14ac:dyDescent="0.3">
      <c r="B18" t="s">
        <v>33</v>
      </c>
      <c r="G18" s="1">
        <f>G13-G17</f>
        <v>20238</v>
      </c>
      <c r="H18" s="1">
        <f>H13-H17</f>
        <v>22247</v>
      </c>
      <c r="K18" s="1">
        <f>K13-K17</f>
        <v>21518</v>
      </c>
      <c r="L18" s="1">
        <f>L13-L17</f>
        <v>20399</v>
      </c>
    </row>
    <row r="19" spans="1:12" x14ac:dyDescent="0.3">
      <c r="B19" t="s">
        <v>34</v>
      </c>
      <c r="G19" s="1">
        <v>286</v>
      </c>
      <c r="H19" s="1">
        <v>268</v>
      </c>
      <c r="K19" s="1">
        <v>54</v>
      </c>
      <c r="L19" s="1">
        <v>-60</v>
      </c>
    </row>
    <row r="20" spans="1:12" x14ac:dyDescent="0.3">
      <c r="B20" t="s">
        <v>35</v>
      </c>
      <c r="G20" s="1">
        <f>G18+G19</f>
        <v>20524</v>
      </c>
      <c r="H20" s="1">
        <f>H18+H19</f>
        <v>22515</v>
      </c>
      <c r="K20" s="1">
        <f>K18+K19</f>
        <v>21572</v>
      </c>
      <c r="L20" s="1">
        <f>L18+L19</f>
        <v>20339</v>
      </c>
    </row>
    <row r="21" spans="1:12" x14ac:dyDescent="0.3">
      <c r="B21" t="s">
        <v>36</v>
      </c>
      <c r="G21" s="1">
        <v>19</v>
      </c>
      <c r="H21" s="1">
        <v>3750</v>
      </c>
      <c r="K21" s="1">
        <v>4016</v>
      </c>
      <c r="L21" s="1">
        <v>3914</v>
      </c>
    </row>
    <row r="22" spans="1:12" s="4" customFormat="1" x14ac:dyDescent="0.3">
      <c r="A22" s="3"/>
      <c r="B22" s="3" t="s">
        <v>37</v>
      </c>
      <c r="G22" s="4">
        <f>G20-G21</f>
        <v>20505</v>
      </c>
      <c r="H22" s="4">
        <f>H20-H21</f>
        <v>18765</v>
      </c>
      <c r="K22" s="4">
        <f>K20-K21</f>
        <v>17556</v>
      </c>
      <c r="L22" s="4">
        <f>L20-L21</f>
        <v>16425</v>
      </c>
    </row>
    <row r="23" spans="1:12" x14ac:dyDescent="0.3">
      <c r="B23" t="s">
        <v>38</v>
      </c>
      <c r="G23" s="2">
        <f>G22/G24</f>
        <v>2.7292692666045522</v>
      </c>
      <c r="H23" s="2">
        <f>H22/H24</f>
        <v>2.5003331112591605</v>
      </c>
      <c r="K23" s="2">
        <f>K22/K24</f>
        <v>2.3542979750569932</v>
      </c>
      <c r="L23" s="2">
        <f>L22/L24</f>
        <v>2.2044020936787008</v>
      </c>
    </row>
    <row r="24" spans="1:12" x14ac:dyDescent="0.3">
      <c r="B24" t="s">
        <v>1</v>
      </c>
      <c r="G24" s="1">
        <v>7513</v>
      </c>
      <c r="H24" s="1">
        <v>7505</v>
      </c>
      <c r="K24" s="1">
        <v>7457</v>
      </c>
      <c r="L24" s="1">
        <v>7451</v>
      </c>
    </row>
    <row r="30" spans="1:12" s="4" customFormat="1" x14ac:dyDescent="0.3">
      <c r="A30" s="3"/>
      <c r="B30" s="3" t="s">
        <v>39</v>
      </c>
      <c r="K30" s="4">
        <f>K31-K44</f>
        <v>58640</v>
      </c>
      <c r="L30" s="4">
        <f>L31-L44</f>
        <v>51392</v>
      </c>
    </row>
    <row r="31" spans="1:12" x14ac:dyDescent="0.3">
      <c r="B31" t="s">
        <v>3</v>
      </c>
      <c r="K31" s="1">
        <f>22884+84378</f>
        <v>107262</v>
      </c>
      <c r="L31" s="1">
        <f>15646+83862</f>
        <v>99508</v>
      </c>
    </row>
    <row r="32" spans="1:12" x14ac:dyDescent="0.3">
      <c r="B32" t="s">
        <v>40</v>
      </c>
      <c r="K32" s="1">
        <v>31279</v>
      </c>
      <c r="L32" s="1">
        <v>35833</v>
      </c>
    </row>
    <row r="33" spans="2:12" x14ac:dyDescent="0.3">
      <c r="B33" t="s">
        <v>41</v>
      </c>
      <c r="K33" s="1">
        <v>4268</v>
      </c>
      <c r="L33" s="1">
        <v>2980</v>
      </c>
    </row>
    <row r="34" spans="2:12" x14ac:dyDescent="0.3">
      <c r="B34" t="s">
        <v>42</v>
      </c>
      <c r="K34" s="1">
        <v>18003</v>
      </c>
      <c r="L34" s="1">
        <v>19502</v>
      </c>
    </row>
    <row r="35" spans="2:12" x14ac:dyDescent="0.3">
      <c r="B35" t="s">
        <v>43</v>
      </c>
      <c r="K35" s="1">
        <v>77037</v>
      </c>
      <c r="L35" s="1">
        <v>82755</v>
      </c>
    </row>
    <row r="36" spans="2:12" x14ac:dyDescent="0.3">
      <c r="B36" t="s">
        <v>44</v>
      </c>
      <c r="K36" s="1">
        <v>13347</v>
      </c>
      <c r="L36" s="1">
        <v>13624</v>
      </c>
    </row>
    <row r="37" spans="2:12" x14ac:dyDescent="0.3">
      <c r="B37" t="s">
        <v>45</v>
      </c>
      <c r="K37" s="1">
        <v>6839</v>
      </c>
      <c r="L37" s="1">
        <v>7097</v>
      </c>
    </row>
    <row r="38" spans="2:12" x14ac:dyDescent="0.3">
      <c r="B38" t="s">
        <v>46</v>
      </c>
      <c r="K38" s="1">
        <v>67459</v>
      </c>
      <c r="L38" s="1">
        <v>67905</v>
      </c>
    </row>
    <row r="39" spans="2:12" x14ac:dyDescent="0.3">
      <c r="B39" t="s">
        <v>47</v>
      </c>
      <c r="K39" s="1">
        <v>10808</v>
      </c>
      <c r="L39" s="1">
        <v>10354</v>
      </c>
    </row>
    <row r="40" spans="2:12" x14ac:dyDescent="0.3">
      <c r="B40" t="s">
        <v>48</v>
      </c>
      <c r="K40" s="1">
        <v>23482</v>
      </c>
      <c r="L40" s="1">
        <v>24994</v>
      </c>
    </row>
    <row r="41" spans="2:12" x14ac:dyDescent="0.3">
      <c r="B41" t="s">
        <v>49</v>
      </c>
      <c r="K41" s="1">
        <f>SUM(K31:K40)</f>
        <v>359784</v>
      </c>
      <c r="L41" s="1">
        <f>SUM(L31:L40)</f>
        <v>364552</v>
      </c>
    </row>
    <row r="43" spans="2:12" x14ac:dyDescent="0.3">
      <c r="B43" t="s">
        <v>50</v>
      </c>
      <c r="K43" s="1">
        <v>16609</v>
      </c>
      <c r="L43" s="1">
        <v>15354</v>
      </c>
    </row>
    <row r="44" spans="2:12" x14ac:dyDescent="0.3">
      <c r="B44" t="s">
        <v>4</v>
      </c>
      <c r="K44" s="1">
        <f>3248+45374</f>
        <v>48622</v>
      </c>
      <c r="L44" s="1">
        <f>3997+44119</f>
        <v>48116</v>
      </c>
    </row>
    <row r="45" spans="2:12" x14ac:dyDescent="0.3">
      <c r="B45" t="s">
        <v>51</v>
      </c>
      <c r="K45" s="1">
        <v>7405</v>
      </c>
      <c r="L45" s="1">
        <v>9030</v>
      </c>
    </row>
    <row r="46" spans="2:12" x14ac:dyDescent="0.3">
      <c r="B46" t="s">
        <v>36</v>
      </c>
      <c r="K46" s="1">
        <f>6729+23712</f>
        <v>30441</v>
      </c>
      <c r="L46" s="1">
        <f>3553+24169</f>
        <v>27722</v>
      </c>
    </row>
    <row r="47" spans="2:12" x14ac:dyDescent="0.3">
      <c r="B47" t="s">
        <v>52</v>
      </c>
      <c r="K47" s="1">
        <f>41340+2549</f>
        <v>43889</v>
      </c>
      <c r="L47" s="1">
        <f>36982+2644</f>
        <v>39626</v>
      </c>
    </row>
    <row r="48" spans="2:12" x14ac:dyDescent="0.3">
      <c r="B48" t="s">
        <v>53</v>
      </c>
      <c r="K48" s="1">
        <v>12058</v>
      </c>
      <c r="L48" s="1">
        <v>12802</v>
      </c>
    </row>
    <row r="49" spans="2:12" x14ac:dyDescent="0.3">
      <c r="B49" t="s">
        <v>54</v>
      </c>
      <c r="K49" s="1">
        <v>223</v>
      </c>
      <c r="L49" s="1">
        <v>289</v>
      </c>
    </row>
    <row r="50" spans="2:12" x14ac:dyDescent="0.3">
      <c r="B50" t="s">
        <v>44</v>
      </c>
      <c r="K50" s="1">
        <v>11660</v>
      </c>
      <c r="L50" s="1">
        <v>11998</v>
      </c>
    </row>
    <row r="51" spans="2:12" x14ac:dyDescent="0.3">
      <c r="B51" t="s">
        <v>55</v>
      </c>
      <c r="K51" s="1">
        <v>15311</v>
      </c>
      <c r="L51" s="1">
        <v>16479</v>
      </c>
    </row>
    <row r="52" spans="2:12" x14ac:dyDescent="0.3">
      <c r="B52" t="s">
        <v>56</v>
      </c>
      <c r="K52" s="1">
        <f>SUM(K43:K51)</f>
        <v>186218</v>
      </c>
      <c r="L52" s="1">
        <f>SUM(L43:L51)</f>
        <v>181416</v>
      </c>
    </row>
    <row r="53" spans="2:12" x14ac:dyDescent="0.3">
      <c r="B53" t="s">
        <v>57</v>
      </c>
      <c r="K53" s="1">
        <v>173566</v>
      </c>
      <c r="L53" s="1">
        <v>183136</v>
      </c>
    </row>
    <row r="54" spans="2:12" x14ac:dyDescent="0.3">
      <c r="B54" t="s">
        <v>58</v>
      </c>
      <c r="K54" s="1">
        <f>SUM(K52:K53)</f>
        <v>359784</v>
      </c>
      <c r="L54" s="1">
        <f>SUM(L52:L53)</f>
        <v>364552</v>
      </c>
    </row>
    <row r="56" spans="2:12" x14ac:dyDescent="0.3">
      <c r="B56" t="s">
        <v>59</v>
      </c>
      <c r="K56" s="1">
        <f>K22</f>
        <v>17556</v>
      </c>
      <c r="L56" s="1">
        <f>L22</f>
        <v>16425</v>
      </c>
    </row>
    <row r="57" spans="2:12" x14ac:dyDescent="0.3">
      <c r="B57" t="s">
        <v>60</v>
      </c>
      <c r="K57" s="1">
        <v>17556</v>
      </c>
      <c r="L57" s="1">
        <v>16425</v>
      </c>
    </row>
    <row r="58" spans="2:12" x14ac:dyDescent="0.3">
      <c r="B58" t="s">
        <v>61</v>
      </c>
      <c r="K58" s="1">
        <v>2790</v>
      </c>
      <c r="L58" s="1">
        <v>3648</v>
      </c>
    </row>
    <row r="59" spans="2:12" x14ac:dyDescent="0.3">
      <c r="B59" t="s">
        <v>62</v>
      </c>
      <c r="K59" s="1">
        <v>2192</v>
      </c>
      <c r="L59" s="1">
        <v>2538</v>
      </c>
    </row>
    <row r="60" spans="2:12" x14ac:dyDescent="0.3">
      <c r="B60" t="s">
        <v>63</v>
      </c>
      <c r="K60" s="1">
        <v>-22</v>
      </c>
      <c r="L60" s="1">
        <v>214</v>
      </c>
    </row>
    <row r="61" spans="2:12" x14ac:dyDescent="0.3">
      <c r="B61" t="s">
        <v>54</v>
      </c>
      <c r="K61" s="1">
        <v>-1191</v>
      </c>
      <c r="L61" s="1">
        <v>-1305</v>
      </c>
    </row>
    <row r="62" spans="2:12" x14ac:dyDescent="0.3">
      <c r="B62" t="s">
        <v>40</v>
      </c>
      <c r="K62" s="1">
        <v>11729</v>
      </c>
      <c r="L62" s="1">
        <v>-3164</v>
      </c>
    </row>
    <row r="63" spans="2:12" x14ac:dyDescent="0.3">
      <c r="B63" t="s">
        <v>41</v>
      </c>
      <c r="K63" s="1">
        <v>-543</v>
      </c>
      <c r="L63" s="1">
        <v>1305</v>
      </c>
    </row>
    <row r="64" spans="2:12" x14ac:dyDescent="0.3">
      <c r="B64" t="s">
        <v>42</v>
      </c>
      <c r="K64" s="1">
        <v>-332</v>
      </c>
      <c r="L64" s="1">
        <v>-392</v>
      </c>
    </row>
    <row r="65" spans="2:12" x14ac:dyDescent="0.3">
      <c r="B65" t="s">
        <v>48</v>
      </c>
      <c r="K65" s="1">
        <v>-666</v>
      </c>
      <c r="L65" s="1">
        <v>-65</v>
      </c>
    </row>
    <row r="66" spans="2:12" x14ac:dyDescent="0.3">
      <c r="B66" t="s">
        <v>50</v>
      </c>
      <c r="K66" s="1">
        <v>-1567</v>
      </c>
      <c r="L66" s="1">
        <v>-2058</v>
      </c>
    </row>
    <row r="67" spans="2:12" x14ac:dyDescent="0.3">
      <c r="B67" t="s">
        <v>52</v>
      </c>
      <c r="K67" s="1">
        <v>-3322</v>
      </c>
      <c r="L67" s="1">
        <v>-5186</v>
      </c>
    </row>
    <row r="68" spans="2:12" x14ac:dyDescent="0.3">
      <c r="B68" t="s">
        <v>64</v>
      </c>
      <c r="K68" s="1">
        <v>410</v>
      </c>
      <c r="L68" s="1">
        <v>-2863</v>
      </c>
    </row>
    <row r="69" spans="2:12" x14ac:dyDescent="0.3">
      <c r="B69" t="s">
        <v>53</v>
      </c>
      <c r="K69" s="1">
        <v>-4024</v>
      </c>
      <c r="L69" s="1">
        <v>1819</v>
      </c>
    </row>
    <row r="70" spans="2:12" x14ac:dyDescent="0.3">
      <c r="B70" t="s">
        <v>55</v>
      </c>
      <c r="K70" s="1">
        <v>188</v>
      </c>
      <c r="L70" s="1">
        <v>257</v>
      </c>
    </row>
    <row r="71" spans="2:12" x14ac:dyDescent="0.3">
      <c r="B71" t="s">
        <v>65</v>
      </c>
      <c r="K71" s="1">
        <f>SUM(K57:K70)</f>
        <v>23198</v>
      </c>
      <c r="L71" s="1">
        <f>SUM(L57:L70)</f>
        <v>11173</v>
      </c>
    </row>
    <row r="73" spans="2:12" x14ac:dyDescent="0.3">
      <c r="B73" t="s">
        <v>66</v>
      </c>
      <c r="K73" s="1">
        <v>-1000</v>
      </c>
      <c r="L73" s="1">
        <v>-750</v>
      </c>
    </row>
    <row r="74" spans="2:12" x14ac:dyDescent="0.3">
      <c r="B74" t="s">
        <v>67</v>
      </c>
      <c r="K74" s="1">
        <v>575</v>
      </c>
      <c r="L74" s="1">
        <v>243</v>
      </c>
    </row>
    <row r="75" spans="2:12" x14ac:dyDescent="0.3">
      <c r="B75" t="s">
        <v>68</v>
      </c>
      <c r="K75" s="1">
        <v>-5573</v>
      </c>
      <c r="L75" s="1">
        <v>-5459</v>
      </c>
    </row>
    <row r="76" spans="2:12" x14ac:dyDescent="0.3">
      <c r="B76" t="s">
        <v>69</v>
      </c>
      <c r="K76" s="1">
        <v>-4621</v>
      </c>
      <c r="L76" s="1">
        <v>-5066</v>
      </c>
    </row>
    <row r="77" spans="2:12" x14ac:dyDescent="0.3">
      <c r="B77" t="s">
        <v>70</v>
      </c>
      <c r="K77" s="1">
        <v>-264</v>
      </c>
      <c r="L77" s="1">
        <v>-317</v>
      </c>
    </row>
    <row r="78" spans="2:12" x14ac:dyDescent="0.3">
      <c r="B78" t="s">
        <v>71</v>
      </c>
      <c r="K78" s="1">
        <f>SUM(K73:K77)</f>
        <v>-10883</v>
      </c>
      <c r="L78" s="1">
        <f>SUM(L73:L77)</f>
        <v>-11349</v>
      </c>
    </row>
    <row r="80" spans="2:12" x14ac:dyDescent="0.3">
      <c r="B80" t="s">
        <v>72</v>
      </c>
      <c r="K80" s="1">
        <v>-6283</v>
      </c>
      <c r="L80" s="1">
        <v>-6274</v>
      </c>
    </row>
    <row r="81" spans="1:12" x14ac:dyDescent="0.3">
      <c r="B81" t="s">
        <v>73</v>
      </c>
      <c r="K81" s="1">
        <v>-349</v>
      </c>
      <c r="L81" s="1">
        <v>-679</v>
      </c>
    </row>
    <row r="82" spans="1:12" x14ac:dyDescent="0.3">
      <c r="B82" t="s">
        <v>74</v>
      </c>
      <c r="K82" s="1">
        <v>-5013</v>
      </c>
      <c r="L82" s="1">
        <v>-11599</v>
      </c>
    </row>
    <row r="83" spans="1:12" x14ac:dyDescent="0.3">
      <c r="B83" t="s">
        <v>76</v>
      </c>
      <c r="K83" s="1">
        <v>6662</v>
      </c>
      <c r="L83" s="1">
        <v>6928</v>
      </c>
    </row>
    <row r="84" spans="1:12" x14ac:dyDescent="0.3">
      <c r="B84" t="s">
        <v>77</v>
      </c>
      <c r="K84" s="1">
        <v>2711</v>
      </c>
      <c r="L84" s="1">
        <v>4775</v>
      </c>
    </row>
    <row r="85" spans="1:12" x14ac:dyDescent="0.3">
      <c r="B85" t="s">
        <v>70</v>
      </c>
      <c r="K85" s="1">
        <v>-860</v>
      </c>
      <c r="L85" s="1">
        <v>-301</v>
      </c>
    </row>
    <row r="86" spans="1:12" x14ac:dyDescent="0.3">
      <c r="B86" t="s">
        <v>78</v>
      </c>
      <c r="K86" s="1">
        <f>SUM(K80:K85)</f>
        <v>-3132</v>
      </c>
      <c r="L86" s="1">
        <f>SUM(L80:L85)</f>
        <v>-7150</v>
      </c>
    </row>
    <row r="88" spans="1:12" x14ac:dyDescent="0.3">
      <c r="B88" t="s">
        <v>79</v>
      </c>
      <c r="K88" s="1">
        <v>-230</v>
      </c>
      <c r="L88" s="1">
        <v>88</v>
      </c>
    </row>
    <row r="89" spans="1:12" x14ac:dyDescent="0.3">
      <c r="B89" t="s">
        <v>80</v>
      </c>
      <c r="K89" s="1">
        <f>K88+K86+K78+K71</f>
        <v>8953</v>
      </c>
      <c r="L89" s="1">
        <f>L88+L86+L78+L71</f>
        <v>-7238</v>
      </c>
    </row>
    <row r="91" spans="1:12" s="4" customFormat="1" x14ac:dyDescent="0.3">
      <c r="A91" s="3"/>
      <c r="B91" s="3" t="s">
        <v>81</v>
      </c>
      <c r="K91" s="4">
        <f>K71+K80</f>
        <v>16915</v>
      </c>
      <c r="L91" s="4">
        <f>L71+L80</f>
        <v>4899</v>
      </c>
    </row>
  </sheetData>
  <hyperlinks>
    <hyperlink ref="A1" location="Main!A1" display="Main" xr:uid="{84C7A8CA-6F49-46CD-A555-80903CC339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Grenci</dc:creator>
  <cp:lastModifiedBy>Michael Grenci</cp:lastModifiedBy>
  <dcterms:created xsi:type="dcterms:W3CDTF">2015-06-05T18:17:20Z</dcterms:created>
  <dcterms:modified xsi:type="dcterms:W3CDTF">2023-03-23T23:28:03Z</dcterms:modified>
</cp:coreProperties>
</file>