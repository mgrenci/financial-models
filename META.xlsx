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B3CDC613-D7B1-452F-B8C7-32B2D7113A5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2" l="1"/>
  <c r="S30" i="2"/>
  <c r="R28" i="2"/>
  <c r="Q28" i="2"/>
  <c r="R27" i="2"/>
  <c r="Q27" i="2"/>
  <c r="R26" i="2"/>
  <c r="Q26" i="2"/>
  <c r="S28" i="2"/>
  <c r="S27" i="2"/>
  <c r="S26" i="2"/>
  <c r="R25" i="2"/>
  <c r="Q25" i="2"/>
  <c r="S25" i="2"/>
  <c r="R24" i="2"/>
  <c r="Q24" i="2"/>
  <c r="S24" i="2"/>
  <c r="R23" i="2"/>
  <c r="S23" i="2"/>
  <c r="I31" i="2"/>
  <c r="H31" i="2"/>
  <c r="G31" i="2"/>
  <c r="J31" i="2"/>
  <c r="I30" i="2"/>
  <c r="H30" i="2"/>
  <c r="G30" i="2"/>
  <c r="J30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J28" i="2"/>
  <c r="J27" i="2"/>
  <c r="J26" i="2"/>
  <c r="I25" i="2"/>
  <c r="H25" i="2"/>
  <c r="G25" i="2"/>
  <c r="F25" i="2"/>
  <c r="E25" i="2"/>
  <c r="D25" i="2"/>
  <c r="C25" i="2"/>
  <c r="J25" i="2"/>
  <c r="I24" i="2"/>
  <c r="H24" i="2"/>
  <c r="G24" i="2"/>
  <c r="F24" i="2"/>
  <c r="E24" i="2"/>
  <c r="D24" i="2"/>
  <c r="C24" i="2"/>
  <c r="J24" i="2"/>
  <c r="I23" i="2"/>
  <c r="H23" i="2"/>
  <c r="G23" i="2"/>
  <c r="J23" i="2"/>
  <c r="S6" i="2"/>
  <c r="R6" i="2"/>
  <c r="S4" i="2"/>
  <c r="R4" i="2"/>
  <c r="S3" i="2"/>
  <c r="S5" i="2" s="1"/>
  <c r="R3" i="2"/>
  <c r="R5" i="2" s="1"/>
  <c r="R8" i="2" s="1"/>
  <c r="C5" i="2"/>
  <c r="C8" i="2" s="1"/>
  <c r="C10" i="2" s="1"/>
  <c r="G5" i="2"/>
  <c r="G8" i="2" s="1"/>
  <c r="G10" i="2" s="1"/>
  <c r="D5" i="2"/>
  <c r="D8" i="2" s="1"/>
  <c r="D10" i="2" s="1"/>
  <c r="H5" i="2"/>
  <c r="H8" i="2" s="1"/>
  <c r="H10" i="2" s="1"/>
  <c r="E5" i="2"/>
  <c r="E8" i="2" s="1"/>
  <c r="E10" i="2" s="1"/>
  <c r="I5" i="2"/>
  <c r="I8" i="2" s="1"/>
  <c r="I10" i="2" s="1"/>
  <c r="I15" i="2" s="1"/>
  <c r="I17" i="2" s="1"/>
  <c r="I19" i="2" s="1"/>
  <c r="I20" i="2" s="1"/>
  <c r="F5" i="2"/>
  <c r="F8" i="2" s="1"/>
  <c r="F10" i="2" s="1"/>
  <c r="J5" i="2"/>
  <c r="J8" i="2" s="1"/>
  <c r="Q14" i="2"/>
  <c r="Q10" i="2"/>
  <c r="S12" i="2"/>
  <c r="R21" i="2"/>
  <c r="R18" i="2"/>
  <c r="R16" i="2"/>
  <c r="R13" i="2"/>
  <c r="R12" i="2"/>
  <c r="R11" i="2"/>
  <c r="R9" i="2"/>
  <c r="S21" i="2"/>
  <c r="S18" i="2"/>
  <c r="S16" i="2"/>
  <c r="S13" i="2"/>
  <c r="S11" i="2"/>
  <c r="S9" i="2"/>
  <c r="G87" i="2"/>
  <c r="G88" i="2"/>
  <c r="G81" i="2"/>
  <c r="G70" i="2"/>
  <c r="G71" i="2" s="1"/>
  <c r="G95" i="2" s="1"/>
  <c r="G47" i="2"/>
  <c r="G46" i="2"/>
  <c r="G50" i="2" s="1"/>
  <c r="G52" i="2" s="1"/>
  <c r="G34" i="2"/>
  <c r="G42" i="2" s="1"/>
  <c r="G33" i="2"/>
  <c r="C14" i="2"/>
  <c r="G14" i="2"/>
  <c r="H87" i="2"/>
  <c r="H88" i="2" s="1"/>
  <c r="H81" i="2"/>
  <c r="H70" i="2"/>
  <c r="H71" i="2"/>
  <c r="H95" i="2" s="1"/>
  <c r="H47" i="2"/>
  <c r="H46" i="2"/>
  <c r="H34" i="2"/>
  <c r="H42" i="2"/>
  <c r="H33" i="2"/>
  <c r="D14" i="2"/>
  <c r="H14" i="2"/>
  <c r="I87" i="2"/>
  <c r="I88" i="2" s="1"/>
  <c r="I81" i="2"/>
  <c r="I69" i="2"/>
  <c r="I71" i="2"/>
  <c r="I95" i="2" s="1"/>
  <c r="I47" i="2"/>
  <c r="I46" i="2"/>
  <c r="I50" i="2"/>
  <c r="I52" i="2" s="1"/>
  <c r="I34" i="2"/>
  <c r="I42" i="2" s="1"/>
  <c r="E14" i="2"/>
  <c r="I14" i="2"/>
  <c r="J88" i="2"/>
  <c r="J81" i="2"/>
  <c r="J71" i="2"/>
  <c r="J95" i="2" s="1"/>
  <c r="J46" i="2"/>
  <c r="J50" i="2" s="1"/>
  <c r="J52" i="2" s="1"/>
  <c r="I7" i="1"/>
  <c r="J34" i="2"/>
  <c r="J33" i="2" s="1"/>
  <c r="F14" i="2"/>
  <c r="J14" i="2"/>
  <c r="R2" i="2"/>
  <c r="S2" i="2" s="1"/>
  <c r="T2" i="2" s="1"/>
  <c r="U2" i="2" s="1"/>
  <c r="V2" i="2" s="1"/>
  <c r="W2" i="2" s="1"/>
  <c r="X2" i="2" s="1"/>
  <c r="Y2" i="2" s="1"/>
  <c r="Z2" i="2" s="1"/>
  <c r="AA2" i="2" s="1"/>
  <c r="I9" i="1"/>
  <c r="I6" i="1"/>
  <c r="I5" i="1"/>
  <c r="E15" i="2" l="1"/>
  <c r="E17" i="2" s="1"/>
  <c r="E19" i="2" s="1"/>
  <c r="E20" i="2" s="1"/>
  <c r="S8" i="2"/>
  <c r="R14" i="2"/>
  <c r="C15" i="2"/>
  <c r="C17" i="2" s="1"/>
  <c r="C19" i="2" s="1"/>
  <c r="C20" i="2" s="1"/>
  <c r="I33" i="2"/>
  <c r="G15" i="2"/>
  <c r="G17" i="2" s="1"/>
  <c r="G19" i="2" s="1"/>
  <c r="G20" i="2" s="1"/>
  <c r="S10" i="2"/>
  <c r="J10" i="2"/>
  <c r="J15" i="2" s="1"/>
  <c r="J17" i="2" s="1"/>
  <c r="J19" i="2" s="1"/>
  <c r="J55" i="2" s="1"/>
  <c r="R10" i="2"/>
  <c r="R15" i="2" s="1"/>
  <c r="R17" i="2" s="1"/>
  <c r="R19" i="2" s="1"/>
  <c r="R20" i="2" s="1"/>
  <c r="S14" i="2"/>
  <c r="S15" i="2" s="1"/>
  <c r="S17" i="2" s="1"/>
  <c r="S19" i="2" s="1"/>
  <c r="S20" i="2" s="1"/>
  <c r="D15" i="2"/>
  <c r="D17" i="2" s="1"/>
  <c r="D19" i="2" s="1"/>
  <c r="D20" i="2" s="1"/>
  <c r="G91" i="2"/>
  <c r="J42" i="2"/>
  <c r="H50" i="2"/>
  <c r="H52" i="2" s="1"/>
  <c r="G55" i="2"/>
  <c r="S95" i="2"/>
  <c r="Q15" i="2"/>
  <c r="Q17" i="2" s="1"/>
  <c r="Q19" i="2" s="1"/>
  <c r="Q20" i="2" s="1"/>
  <c r="H91" i="2"/>
  <c r="H15" i="2"/>
  <c r="H17" i="2" s="1"/>
  <c r="H19" i="2" s="1"/>
  <c r="I91" i="2"/>
  <c r="I55" i="2"/>
  <c r="J91" i="2"/>
  <c r="F15" i="2"/>
  <c r="F17" i="2" s="1"/>
  <c r="F19" i="2" s="1"/>
  <c r="F20" i="2" s="1"/>
  <c r="J20" i="2" l="1"/>
  <c r="H20" i="2"/>
  <c r="H55" i="2"/>
</calcChain>
</file>

<file path=xl/sharedStrings.xml><?xml version="1.0" encoding="utf-8"?>
<sst xmlns="http://schemas.openxmlformats.org/spreadsheetml/2006/main" count="108" uniqueCount="91">
  <si>
    <t xml:space="preserve">Price </t>
  </si>
  <si>
    <t>S/O</t>
  </si>
  <si>
    <t xml:space="preserve">MC </t>
  </si>
  <si>
    <t xml:space="preserve">Cash </t>
  </si>
  <si>
    <t xml:space="preserve">Debt </t>
  </si>
  <si>
    <t xml:space="preserve">EV </t>
  </si>
  <si>
    <t>Main</t>
  </si>
  <si>
    <t>Q422</t>
  </si>
  <si>
    <t xml:space="preserve">Revenue </t>
  </si>
  <si>
    <t xml:space="preserve">COGS </t>
  </si>
  <si>
    <t xml:space="preserve">Gross Profit </t>
  </si>
  <si>
    <t xml:space="preserve">R&amp;D </t>
  </si>
  <si>
    <t xml:space="preserve">M&amp;S </t>
  </si>
  <si>
    <t xml:space="preserve">G&amp;A </t>
  </si>
  <si>
    <t xml:space="preserve">Operating Expenses </t>
  </si>
  <si>
    <t xml:space="preserve">Operating Income </t>
  </si>
  <si>
    <t xml:space="preserve">Other Income </t>
  </si>
  <si>
    <t xml:space="preserve">Pretax Income </t>
  </si>
  <si>
    <t xml:space="preserve">Taxes </t>
  </si>
  <si>
    <t xml:space="preserve">Net Income </t>
  </si>
  <si>
    <t xml:space="preserve">EPS 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</si>
  <si>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</si>
  <si>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</si>
  <si>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</si>
  <si>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</si>
  <si>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</si>
  <si>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</si>
  <si>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</si>
  <si>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</si>
  <si>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</si>
  <si>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</si>
  <si>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</si>
  <si>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Dec 31/2022</t>
  </si>
  <si>
    <t xml:space="preserve">Net Cash </t>
  </si>
  <si>
    <t>A/R</t>
  </si>
  <si>
    <t xml:space="preserve">Prepaids &amp; OCA </t>
  </si>
  <si>
    <t xml:space="preserve">PP&amp;E </t>
  </si>
  <si>
    <t xml:space="preserve">Operating lease </t>
  </si>
  <si>
    <t xml:space="preserve">Intangible </t>
  </si>
  <si>
    <t xml:space="preserve">Goodwill </t>
  </si>
  <si>
    <t xml:space="preserve">Other </t>
  </si>
  <si>
    <t xml:space="preserve">Assets </t>
  </si>
  <si>
    <t>A/P</t>
  </si>
  <si>
    <t xml:space="preserve">Partners payable </t>
  </si>
  <si>
    <t xml:space="preserve">AE &amp; OCL </t>
  </si>
  <si>
    <t xml:space="preserve">Liabilities </t>
  </si>
  <si>
    <t xml:space="preserve">S/E </t>
  </si>
  <si>
    <t xml:space="preserve">L + S/E </t>
  </si>
  <si>
    <t>Model NI</t>
  </si>
  <si>
    <t xml:space="preserve">Reported NI </t>
  </si>
  <si>
    <t xml:space="preserve">D&amp;A </t>
  </si>
  <si>
    <t xml:space="preserve">SBC </t>
  </si>
  <si>
    <t xml:space="preserve">DT </t>
  </si>
  <si>
    <t xml:space="preserve">Impairments </t>
  </si>
  <si>
    <t xml:space="preserve">Data centers </t>
  </si>
  <si>
    <t xml:space="preserve">Marketable securities </t>
  </si>
  <si>
    <t xml:space="preserve">Other assets </t>
  </si>
  <si>
    <t xml:space="preserve">Other liabilities </t>
  </si>
  <si>
    <t xml:space="preserve">CFFO </t>
  </si>
  <si>
    <t xml:space="preserve">CapEx </t>
  </si>
  <si>
    <t>Proceeds CapEx</t>
  </si>
  <si>
    <t xml:space="preserve">Purchases securities </t>
  </si>
  <si>
    <t xml:space="preserve">Sales securities </t>
  </si>
  <si>
    <t xml:space="preserve">Maturities securities </t>
  </si>
  <si>
    <t xml:space="preserve">Purchases equity securities </t>
  </si>
  <si>
    <t xml:space="preserve">Acquisitions </t>
  </si>
  <si>
    <t xml:space="preserve">CFFI </t>
  </si>
  <si>
    <t xml:space="preserve">Equity awards </t>
  </si>
  <si>
    <t xml:space="preserve">Repurchases common stock </t>
  </si>
  <si>
    <t xml:space="preserve">Proceeds of debt </t>
  </si>
  <si>
    <t xml:space="preserve">Payments finance leases </t>
  </si>
  <si>
    <t xml:space="preserve">CFFF </t>
  </si>
  <si>
    <t>FX</t>
  </si>
  <si>
    <t xml:space="preserve">CIC </t>
  </si>
  <si>
    <t xml:space="preserve">Beginning Cash </t>
  </si>
  <si>
    <t xml:space="preserve">Ending Cash </t>
  </si>
  <si>
    <t xml:space="preserve">FCF </t>
  </si>
  <si>
    <t>Sept 30/2022</t>
  </si>
  <si>
    <t>June 30/2022</t>
  </si>
  <si>
    <t>Mar 31/2022</t>
  </si>
  <si>
    <t xml:space="preserve">Advertising </t>
  </si>
  <si>
    <t xml:space="preserve">   Family of Apps </t>
  </si>
  <si>
    <t xml:space="preserve">Reality Labs </t>
  </si>
  <si>
    <t>Revenue y/y</t>
  </si>
  <si>
    <t xml:space="preserve">Gross Margin </t>
  </si>
  <si>
    <t>Tax Rate</t>
  </si>
  <si>
    <t xml:space="preserve">R&amp;D % </t>
  </si>
  <si>
    <t xml:space="preserve">M&amp;S % </t>
  </si>
  <si>
    <t xml:space="preserve">G&amp;A % </t>
  </si>
  <si>
    <t>Advertising y/y</t>
  </si>
  <si>
    <t>Reality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</si>
</sst>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3" fillId="0" borderId="0" xfId="2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0</xdr:row>
      <xdr:rowOff>175260</xdr:rowOff>
    </xdr:from>
    <xdr:to>
      <xdr:col>10</xdr:col>
      <xdr:colOff>7620</xdr:colOff>
      <xdr:row>33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56AE339-31AE-D333-7B0E-7577606326DB}"/>
            </a:ext>
          </a:extLst>
        </xdr:cNvPr>
        <xdr:cNvCxnSpPr/>
      </xdr:nvCxnSpPr>
      <xdr:spPr>
        <a:xfrm>
          <a:off x="6896100" y="175260"/>
          <a:ext cx="15240" cy="59512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0</xdr:row>
      <xdr:rowOff>137160</xdr:rowOff>
    </xdr:from>
    <xdr:to>
      <xdr:col>19</xdr:col>
      <xdr:colOff>22860</xdr:colOff>
      <xdr:row>33</xdr:row>
      <xdr:rowOff>53340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F738507-C7CD-42FF-8088-FD4077439DE3}"/>
            </a:ext>
          </a:extLst>
        </xdr:cNvPr>
        <xdr:cNvCxnSpPr/>
      </xdr:nvCxnSpPr>
      <xdr:spPr>
        <a:xfrm>
          <a:off x="12397740" y="137160"/>
          <a:ext cx="15240" cy="3756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4:J9"/>
  <sheetViews>
    <sheetView workbookViewId="0">
      <selection activeCell="I8" sqref="I8"/>
    </sheetView>
  </sheetViews>
  <sheetFormatPr defaultRowHeight="14.4" x14ac:dyDescent="0.3"/>
  <sheetData>
    <row r="4" spans="8:10" x14ac:dyDescent="0.3">
      <c r="H4" t="s">
        <v>0</v>
      </c>
      <c r="I4">
        <v>202.16</v>
      </c>
    </row>
    <row r="5" spans="8:10" x14ac:dyDescent="0.3">
      <c r="H5" t="s">
        <v>1</v>
      </c>
      <c r="I5" s="1">
        <f>2225.763078+366.87647</f>
        <v>2592.6395480000001</v>
      </c>
      <c r="J5" t="s">
        <v>7</v>
      </c>
    </row>
    <row r="6" spans="8:10" x14ac:dyDescent="0.3">
      <c r="H6" t="s">
        <v>2</v>
      </c>
      <c r="I6" s="1">
        <f>I5*I4</f>
        <v>524128.01102368004</v>
      </c>
    </row>
    <row r="7" spans="8:10" x14ac:dyDescent="0.3">
      <c r="H7" t="s">
        <v>3</v>
      </c>
      <c r="I7" s="1">
        <f>14681+26057+6201</f>
        <v>46939</v>
      </c>
      <c r="J7" t="s">
        <v>7</v>
      </c>
    </row>
    <row r="8" spans="8:10" x14ac:dyDescent="0.3">
      <c r="H8" t="s">
        <v>4</v>
      </c>
      <c r="I8" s="1">
        <v>9923</v>
      </c>
      <c r="J8" t="s">
        <v>7</v>
      </c>
    </row>
    <row r="9" spans="8:10" x14ac:dyDescent="0.3">
      <c r="H9" t="s">
        <v>5</v>
      </c>
      <c r="I9" s="1">
        <f>I6-I7+I8</f>
        <v>487112.01102368004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EBB0-EDCC-460F-895C-0C3A3F109C84}">
  <dimension ref="A1:AA9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28" sqref="U28"/>
    </sheetView>
  </sheetViews>
  <sheetFormatPr defaultRowHeight="14.4" x14ac:dyDescent="0.3"/>
  <cols>
    <col min="1" max="1" width="5.109375" bestFit="1" customWidth="1"/>
    <col min="2" max="2" width="24.44140625" bestFit="1" customWidth="1"/>
    <col min="3" max="16384" width="8.88671875" style="1"/>
  </cols>
  <sheetData>
    <row r="1" spans="1:27" customFormat="1" x14ac:dyDescent="0.3">
      <c r="A1" s="2" t="s">
        <v>6</v>
      </c>
      <c r="G1" t="s">
        <v>79</v>
      </c>
      <c r="H1" t="s">
        <v>78</v>
      </c>
      <c r="I1" t="s">
        <v>77</v>
      </c>
      <c r="J1" t="s">
        <v>32</v>
      </c>
    </row>
    <row r="2" spans="1:27" customFormat="1" x14ac:dyDescent="0.3"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7</v>
      </c>
      <c r="K2" t="s">
        <v>28</v>
      </c>
      <c r="L2" t="s">
        <v>29</v>
      </c>
      <c r="M2" t="s">
        <v>30</v>
      </c>
      <c r="N2" t="s">
        <v>31</v>
      </c>
      <c r="Q2">
        <v>2020</v>
      </c>
      <c r="R2">
        <f>Q2+1</f>
        <v>2021</v>
      </c>
      <c r="S2">
        <f t="shared" ref="S2:AA2" si="0">R2+1</f>
        <v>2022</v>
      </c>
      <c r="T2">
        <f t="shared" si="0"/>
        <v>2023</v>
      </c>
      <c r="U2">
        <f t="shared" si="0"/>
        <v>2024</v>
      </c>
      <c r="V2">
        <f t="shared" si="0"/>
        <v>2025</v>
      </c>
      <c r="W2">
        <f t="shared" si="0"/>
        <v>2026</v>
      </c>
      <c r="X2">
        <f t="shared" si="0"/>
        <v>2027</v>
      </c>
      <c r="Y2">
        <f t="shared" si="0"/>
        <v>2028</v>
      </c>
      <c r="Z2">
        <f t="shared" si="0"/>
        <v>2029</v>
      </c>
      <c r="AA2">
        <f t="shared" si="0"/>
        <v>2030</v>
      </c>
    </row>
    <row r="3" spans="1:27" x14ac:dyDescent="0.3">
      <c r="B3" t="s">
        <v>80</v>
      </c>
      <c r="C3" s="1">
        <v>25439</v>
      </c>
      <c r="D3" s="1">
        <v>28580</v>
      </c>
      <c r="E3" s="1">
        <v>28276</v>
      </c>
      <c r="F3" s="1">
        <v>32639</v>
      </c>
      <c r="G3" s="1">
        <v>26998</v>
      </c>
      <c r="H3" s="1">
        <v>28152</v>
      </c>
      <c r="I3" s="1">
        <v>27237</v>
      </c>
      <c r="J3" s="1">
        <v>31254</v>
      </c>
      <c r="R3" s="1">
        <f>SUM(C3:F3)</f>
        <v>114934</v>
      </c>
      <c r="S3" s="1">
        <f>SUM(G3:J3)</f>
        <v>113641</v>
      </c>
    </row>
    <row r="4" spans="1:27" x14ac:dyDescent="0.3">
      <c r="B4" t="s">
        <v>40</v>
      </c>
      <c r="C4" s="1">
        <v>198</v>
      </c>
      <c r="D4" s="1">
        <v>192</v>
      </c>
      <c r="E4" s="1">
        <v>176</v>
      </c>
      <c r="F4" s="1">
        <v>155</v>
      </c>
      <c r="G4" s="1">
        <v>215</v>
      </c>
      <c r="H4" s="1">
        <v>218</v>
      </c>
      <c r="I4" s="1">
        <v>192</v>
      </c>
      <c r="J4" s="1">
        <v>184</v>
      </c>
      <c r="R4" s="1">
        <f>SUM(C4:F4)</f>
        <v>721</v>
      </c>
      <c r="S4" s="1">
        <f>SUM(G4:J4)</f>
        <v>809</v>
      </c>
    </row>
    <row r="5" spans="1:27" s="5" customFormat="1" x14ac:dyDescent="0.3">
      <c r="A5" s="4"/>
      <c r="B5" s="4" t="s">
        <v>81</v>
      </c>
      <c r="C5" s="5">
        <f t="shared" ref="C5:J5" si="1">SUM(C3:C4)</f>
        <v>25637</v>
      </c>
      <c r="D5" s="5">
        <f t="shared" si="1"/>
        <v>28772</v>
      </c>
      <c r="E5" s="5">
        <f t="shared" si="1"/>
        <v>28452</v>
      </c>
      <c r="F5" s="5">
        <f t="shared" si="1"/>
        <v>32794</v>
      </c>
      <c r="G5" s="5">
        <f t="shared" si="1"/>
        <v>27213</v>
      </c>
      <c r="H5" s="5">
        <f t="shared" si="1"/>
        <v>28370</v>
      </c>
      <c r="I5" s="5">
        <f t="shared" si="1"/>
        <v>27429</v>
      </c>
      <c r="J5" s="5">
        <f t="shared" si="1"/>
        <v>31438</v>
      </c>
      <c r="R5" s="5">
        <f>SUM(R3:R4)</f>
        <v>115655</v>
      </c>
      <c r="S5" s="5">
        <f>SUM(S3:S4)</f>
        <v>114450</v>
      </c>
    </row>
    <row r="6" spans="1:27" x14ac:dyDescent="0.3">
      <c r="B6" t="s">
        <v>82</v>
      </c>
      <c r="C6" s="1">
        <v>534</v>
      </c>
      <c r="D6" s="1">
        <v>305</v>
      </c>
      <c r="E6" s="1">
        <v>558</v>
      </c>
      <c r="F6" s="1">
        <v>877</v>
      </c>
      <c r="G6" s="1">
        <v>695</v>
      </c>
      <c r="H6" s="1">
        <v>452</v>
      </c>
      <c r="I6" s="1">
        <v>285</v>
      </c>
      <c r="J6" s="1">
        <v>727</v>
      </c>
      <c r="R6" s="1">
        <f>SUM(C6:F6)</f>
        <v>2274</v>
      </c>
      <c r="S6" s="1">
        <f>SUM(G6:J6)</f>
        <v>2159</v>
      </c>
    </row>
    <row r="8" spans="1:27" x14ac:dyDescent="0.3">
      <c r="B8" t="s">
        <v>8</v>
      </c>
      <c r="C8" s="1">
        <f t="shared" ref="C8:J8" si="2">SUM(C5:C6)</f>
        <v>26171</v>
      </c>
      <c r="D8" s="1">
        <f t="shared" si="2"/>
        <v>29077</v>
      </c>
      <c r="E8" s="1">
        <f t="shared" si="2"/>
        <v>29010</v>
      </c>
      <c r="F8" s="1">
        <f t="shared" si="2"/>
        <v>33671</v>
      </c>
      <c r="G8" s="1">
        <f t="shared" si="2"/>
        <v>27908</v>
      </c>
      <c r="H8" s="1">
        <f t="shared" si="2"/>
        <v>28822</v>
      </c>
      <c r="I8" s="1">
        <f t="shared" si="2"/>
        <v>27714</v>
      </c>
      <c r="J8" s="1">
        <f t="shared" si="2"/>
        <v>32165</v>
      </c>
      <c r="Q8" s="1">
        <v>85965</v>
      </c>
      <c r="R8" s="1">
        <f>SUM(R5:R6)</f>
        <v>117929</v>
      </c>
      <c r="S8" s="1">
        <f>SUM(S5:S6)</f>
        <v>116609</v>
      </c>
    </row>
    <row r="9" spans="1:27" x14ac:dyDescent="0.3">
      <c r="B9" t="s">
        <v>9</v>
      </c>
      <c r="C9" s="1">
        <v>5131</v>
      </c>
      <c r="D9" s="1">
        <v>5399</v>
      </c>
      <c r="E9" s="1">
        <v>5771</v>
      </c>
      <c r="F9" s="1">
        <v>6348</v>
      </c>
      <c r="G9" s="1">
        <v>6005</v>
      </c>
      <c r="H9" s="1">
        <v>5192</v>
      </c>
      <c r="I9" s="1">
        <v>5716</v>
      </c>
      <c r="J9" s="1">
        <v>8336</v>
      </c>
      <c r="Q9" s="1">
        <v>16692</v>
      </c>
      <c r="R9" s="1">
        <f>SUM(C9:F9)</f>
        <v>22649</v>
      </c>
      <c r="S9" s="1">
        <f>SUM(G9:J9)</f>
        <v>25249</v>
      </c>
    </row>
    <row r="10" spans="1:27" x14ac:dyDescent="0.3">
      <c r="B10" t="s">
        <v>10</v>
      </c>
      <c r="C10" s="1">
        <f t="shared" ref="C10:J10" si="3">C8-C9</f>
        <v>21040</v>
      </c>
      <c r="D10" s="1">
        <f t="shared" si="3"/>
        <v>23678</v>
      </c>
      <c r="E10" s="1">
        <f t="shared" si="3"/>
        <v>23239</v>
      </c>
      <c r="F10" s="1">
        <f t="shared" si="3"/>
        <v>27323</v>
      </c>
      <c r="G10" s="1">
        <f t="shared" si="3"/>
        <v>21903</v>
      </c>
      <c r="H10" s="1">
        <f t="shared" si="3"/>
        <v>23630</v>
      </c>
      <c r="I10" s="1">
        <f t="shared" si="3"/>
        <v>21998</v>
      </c>
      <c r="J10" s="1">
        <f t="shared" si="3"/>
        <v>23829</v>
      </c>
      <c r="Q10" s="1">
        <f>Q8-Q9</f>
        <v>69273</v>
      </c>
      <c r="R10" s="1">
        <f>R8-R9</f>
        <v>95280</v>
      </c>
      <c r="S10" s="1">
        <f>S8-S9</f>
        <v>91360</v>
      </c>
    </row>
    <row r="11" spans="1:27" x14ac:dyDescent="0.3">
      <c r="B11" t="s">
        <v>11</v>
      </c>
      <c r="C11" s="1">
        <v>5197</v>
      </c>
      <c r="D11" s="1">
        <v>6096</v>
      </c>
      <c r="E11" s="1">
        <v>6316</v>
      </c>
      <c r="F11" s="1">
        <v>7046</v>
      </c>
      <c r="G11" s="1">
        <v>7707</v>
      </c>
      <c r="H11" s="1">
        <v>8690</v>
      </c>
      <c r="I11" s="1">
        <v>9170</v>
      </c>
      <c r="J11" s="1">
        <v>9771</v>
      </c>
      <c r="Q11" s="1">
        <v>18447</v>
      </c>
      <c r="R11" s="1">
        <f>SUM(C11:F11)</f>
        <v>24655</v>
      </c>
      <c r="S11" s="1">
        <f>SUM(G11:J11)</f>
        <v>35338</v>
      </c>
    </row>
    <row r="12" spans="1:27" x14ac:dyDescent="0.3">
      <c r="B12" t="s">
        <v>12</v>
      </c>
      <c r="C12" s="1">
        <v>2843</v>
      </c>
      <c r="D12" s="1">
        <v>3259</v>
      </c>
      <c r="E12" s="1">
        <v>3554</v>
      </c>
      <c r="F12" s="1">
        <v>4387</v>
      </c>
      <c r="G12" s="1">
        <v>3312</v>
      </c>
      <c r="H12" s="1">
        <v>3595</v>
      </c>
      <c r="I12" s="1">
        <v>3780</v>
      </c>
      <c r="J12" s="1">
        <v>4574</v>
      </c>
      <c r="Q12" s="1">
        <v>11591</v>
      </c>
      <c r="R12" s="1">
        <f>SUM(C12:F12)</f>
        <v>14043</v>
      </c>
      <c r="S12" s="1">
        <f>SUM(G12:J12)</f>
        <v>15261</v>
      </c>
    </row>
    <row r="13" spans="1:27" x14ac:dyDescent="0.3">
      <c r="B13" t="s">
        <v>13</v>
      </c>
      <c r="C13" s="1">
        <v>1622</v>
      </c>
      <c r="D13" s="1">
        <v>1956</v>
      </c>
      <c r="E13" s="1">
        <v>2946</v>
      </c>
      <c r="F13" s="1">
        <v>3305</v>
      </c>
      <c r="G13" s="1">
        <v>2360</v>
      </c>
      <c r="H13" s="1">
        <v>2987</v>
      </c>
      <c r="I13" s="1">
        <v>3384</v>
      </c>
      <c r="J13" s="1">
        <v>3085</v>
      </c>
      <c r="Q13" s="1">
        <v>6564</v>
      </c>
      <c r="R13" s="1">
        <f>SUM(C13:F13)</f>
        <v>9829</v>
      </c>
      <c r="S13" s="1">
        <f>SUM(G13:J13)</f>
        <v>11816</v>
      </c>
    </row>
    <row r="14" spans="1:27" x14ac:dyDescent="0.3">
      <c r="B14" t="s">
        <v>14</v>
      </c>
      <c r="C14" s="1">
        <f t="shared" ref="C14:J14" si="4">SUM(C11:C13)</f>
        <v>9662</v>
      </c>
      <c r="D14" s="1">
        <f t="shared" si="4"/>
        <v>11311</v>
      </c>
      <c r="E14" s="1">
        <f t="shared" si="4"/>
        <v>12816</v>
      </c>
      <c r="F14" s="1">
        <f t="shared" si="4"/>
        <v>14738</v>
      </c>
      <c r="G14" s="1">
        <f t="shared" si="4"/>
        <v>13379</v>
      </c>
      <c r="H14" s="1">
        <f t="shared" si="4"/>
        <v>15272</v>
      </c>
      <c r="I14" s="1">
        <f t="shared" si="4"/>
        <v>16334</v>
      </c>
      <c r="J14" s="1">
        <f t="shared" si="4"/>
        <v>17430</v>
      </c>
      <c r="Q14" s="1">
        <f>SUM(Q11:Q13)</f>
        <v>36602</v>
      </c>
      <c r="R14" s="1">
        <f>SUM(R11:R13)</f>
        <v>48527</v>
      </c>
      <c r="S14" s="1">
        <f>SUM(S11:S13)</f>
        <v>62415</v>
      </c>
    </row>
    <row r="15" spans="1:27" x14ac:dyDescent="0.3">
      <c r="B15" t="s">
        <v>15</v>
      </c>
      <c r="C15" s="1">
        <f t="shared" ref="C15:J15" si="5">C10-C14</f>
        <v>11378</v>
      </c>
      <c r="D15" s="1">
        <f t="shared" si="5"/>
        <v>12367</v>
      </c>
      <c r="E15" s="1">
        <f t="shared" si="5"/>
        <v>10423</v>
      </c>
      <c r="F15" s="1">
        <f t="shared" si="5"/>
        <v>12585</v>
      </c>
      <c r="G15" s="1">
        <f t="shared" si="5"/>
        <v>8524</v>
      </c>
      <c r="H15" s="1">
        <f t="shared" si="5"/>
        <v>8358</v>
      </c>
      <c r="I15" s="1">
        <f t="shared" si="5"/>
        <v>5664</v>
      </c>
      <c r="J15" s="1">
        <f t="shared" si="5"/>
        <v>6399</v>
      </c>
      <c r="Q15" s="1">
        <f>Q10-Q14</f>
        <v>32671</v>
      </c>
      <c r="R15" s="1">
        <f>R10-R14</f>
        <v>46753</v>
      </c>
      <c r="S15" s="1">
        <f>S10-S14</f>
        <v>28945</v>
      </c>
    </row>
    <row r="16" spans="1:27" x14ac:dyDescent="0.3">
      <c r="B16" t="s">
        <v>16</v>
      </c>
      <c r="C16" s="1">
        <v>125</v>
      </c>
      <c r="D16" s="1">
        <v>146</v>
      </c>
      <c r="E16" s="1">
        <v>142</v>
      </c>
      <c r="F16" s="1">
        <v>117</v>
      </c>
      <c r="G16" s="1">
        <v>384</v>
      </c>
      <c r="H16" s="1">
        <v>-172</v>
      </c>
      <c r="I16" s="1">
        <v>-88</v>
      </c>
      <c r="J16" s="1">
        <v>-250</v>
      </c>
      <c r="Q16" s="1">
        <v>509</v>
      </c>
      <c r="R16" s="1">
        <f>SUM(C16:F16)</f>
        <v>530</v>
      </c>
      <c r="S16" s="1">
        <f>SUM(G16:J16)</f>
        <v>-126</v>
      </c>
    </row>
    <row r="17" spans="1:19" x14ac:dyDescent="0.3">
      <c r="B17" t="s">
        <v>17</v>
      </c>
      <c r="C17" s="1">
        <f t="shared" ref="C17:J17" si="6">C15+C16</f>
        <v>11503</v>
      </c>
      <c r="D17" s="1">
        <f t="shared" si="6"/>
        <v>12513</v>
      </c>
      <c r="E17" s="1">
        <f t="shared" si="6"/>
        <v>10565</v>
      </c>
      <c r="F17" s="1">
        <f t="shared" si="6"/>
        <v>12702</v>
      </c>
      <c r="G17" s="1">
        <f t="shared" si="6"/>
        <v>8908</v>
      </c>
      <c r="H17" s="1">
        <f t="shared" si="6"/>
        <v>8186</v>
      </c>
      <c r="I17" s="1">
        <f t="shared" si="6"/>
        <v>5576</v>
      </c>
      <c r="J17" s="1">
        <f t="shared" si="6"/>
        <v>6149</v>
      </c>
      <c r="Q17" s="1">
        <f>Q15+Q16</f>
        <v>33180</v>
      </c>
      <c r="R17" s="1">
        <f>R15+R16</f>
        <v>47283</v>
      </c>
      <c r="S17" s="1">
        <f>S15+S16</f>
        <v>28819</v>
      </c>
    </row>
    <row r="18" spans="1:19" x14ac:dyDescent="0.3">
      <c r="B18" t="s">
        <v>18</v>
      </c>
      <c r="C18" s="1">
        <v>2006</v>
      </c>
      <c r="D18" s="1">
        <v>2119</v>
      </c>
      <c r="E18" s="1">
        <v>1371</v>
      </c>
      <c r="F18" s="1">
        <v>2417</v>
      </c>
      <c r="G18" s="1">
        <v>1443</v>
      </c>
      <c r="H18" s="1">
        <v>1499</v>
      </c>
      <c r="I18" s="1">
        <v>1181</v>
      </c>
      <c r="J18" s="1">
        <v>1497</v>
      </c>
      <c r="Q18" s="1">
        <v>4034</v>
      </c>
      <c r="R18" s="1">
        <f>SUM(C18:F18)</f>
        <v>7913</v>
      </c>
      <c r="S18" s="1">
        <f>SUM(G18:J18)</f>
        <v>5620</v>
      </c>
    </row>
    <row r="19" spans="1:19" s="5" customFormat="1" x14ac:dyDescent="0.3">
      <c r="A19" s="4"/>
      <c r="B19" s="4" t="s">
        <v>19</v>
      </c>
      <c r="C19" s="5">
        <f t="shared" ref="C19:J19" si="7">C17-C18</f>
        <v>9497</v>
      </c>
      <c r="D19" s="5">
        <f t="shared" si="7"/>
        <v>10394</v>
      </c>
      <c r="E19" s="5">
        <f t="shared" si="7"/>
        <v>9194</v>
      </c>
      <c r="F19" s="5">
        <f t="shared" si="7"/>
        <v>10285</v>
      </c>
      <c r="G19" s="5">
        <f t="shared" si="7"/>
        <v>7465</v>
      </c>
      <c r="H19" s="5">
        <f t="shared" si="7"/>
        <v>6687</v>
      </c>
      <c r="I19" s="5">
        <f t="shared" si="7"/>
        <v>4395</v>
      </c>
      <c r="J19" s="5">
        <f t="shared" si="7"/>
        <v>4652</v>
      </c>
      <c r="Q19" s="5">
        <f>Q17-Q18</f>
        <v>29146</v>
      </c>
      <c r="R19" s="5">
        <f>R17-R18</f>
        <v>39370</v>
      </c>
      <c r="S19" s="5">
        <f>S17-S18</f>
        <v>23199</v>
      </c>
    </row>
    <row r="20" spans="1:19" x14ac:dyDescent="0.3">
      <c r="B20" t="s">
        <v>20</v>
      </c>
      <c r="C20" s="3">
        <f t="shared" ref="C20:J20" si="8">C19/C21</f>
        <v>3.335792061819459</v>
      </c>
      <c r="D20" s="3">
        <f t="shared" si="8"/>
        <v>3.667607621736062</v>
      </c>
      <c r="E20" s="3">
        <f t="shared" si="8"/>
        <v>3.2672352523098791</v>
      </c>
      <c r="F20" s="3">
        <f t="shared" si="8"/>
        <v>3.7197106690777577</v>
      </c>
      <c r="G20" s="3">
        <f t="shared" si="8"/>
        <v>2.7394495412844035</v>
      </c>
      <c r="H20" s="3">
        <f t="shared" si="8"/>
        <v>2.4730029585798818</v>
      </c>
      <c r="I20" s="3">
        <f t="shared" si="8"/>
        <v>1.638702460850112</v>
      </c>
      <c r="J20" s="3">
        <f t="shared" si="8"/>
        <v>1.7634571645185746</v>
      </c>
      <c r="Q20" s="3">
        <f>Q19/Q21</f>
        <v>10.223079621185549</v>
      </c>
      <c r="R20" s="3">
        <f>R19/R21</f>
        <v>13.985790408525755</v>
      </c>
      <c r="S20" s="3">
        <f>S19/S21</f>
        <v>8.6329891152665361</v>
      </c>
    </row>
    <row r="21" spans="1:19" x14ac:dyDescent="0.3">
      <c r="B21" t="s">
        <v>1</v>
      </c>
      <c r="C21" s="1">
        <v>2847</v>
      </c>
      <c r="D21" s="1">
        <v>2834</v>
      </c>
      <c r="E21" s="1">
        <v>2814</v>
      </c>
      <c r="F21" s="1">
        <v>2765</v>
      </c>
      <c r="G21" s="1">
        <v>2725</v>
      </c>
      <c r="H21" s="1">
        <v>2704</v>
      </c>
      <c r="I21" s="1">
        <v>2682</v>
      </c>
      <c r="J21" s="1">
        <v>2638</v>
      </c>
      <c r="Q21" s="1">
        <v>2851</v>
      </c>
      <c r="R21" s="1">
        <f>AVERAGE(C21:F21)</f>
        <v>2815</v>
      </c>
      <c r="S21" s="1">
        <f>AVERAGE(G21:J21)</f>
        <v>2687.25</v>
      </c>
    </row>
    <row r="23" spans="1:19" x14ac:dyDescent="0.3">
      <c r="B23" t="s">
        <v>83</v>
      </c>
      <c r="G23" s="6">
        <f t="shared" ref="G23:I23" si="9">G8/C8-1</f>
        <v>6.6371174200450911E-2</v>
      </c>
      <c r="H23" s="6">
        <f t="shared" si="9"/>
        <v>-8.7698180692643568E-3</v>
      </c>
      <c r="I23" s="6">
        <f t="shared" si="9"/>
        <v>-4.4674250258531556E-2</v>
      </c>
      <c r="J23" s="6">
        <f>J8/F8-1</f>
        <v>-4.4726916337501144E-2</v>
      </c>
      <c r="R23" s="6">
        <f>R8/Q8-1</f>
        <v>0.37182574303495608</v>
      </c>
      <c r="S23" s="6">
        <f>S8/R8-1</f>
        <v>-1.1193175554782941E-2</v>
      </c>
    </row>
    <row r="24" spans="1:19" x14ac:dyDescent="0.3">
      <c r="B24" t="s">
        <v>84</v>
      </c>
      <c r="C24" s="6">
        <f t="shared" ref="C24:I24" si="10">C10/C8</f>
        <v>0.80394329601467274</v>
      </c>
      <c r="D24" s="6">
        <f t="shared" si="10"/>
        <v>0.81432059703545756</v>
      </c>
      <c r="E24" s="6">
        <f t="shared" si="10"/>
        <v>0.80106859703550504</v>
      </c>
      <c r="F24" s="6">
        <f t="shared" si="10"/>
        <v>0.81146981081642955</v>
      </c>
      <c r="G24" s="6">
        <f t="shared" si="10"/>
        <v>0.78482872294682526</v>
      </c>
      <c r="H24" s="6">
        <f t="shared" si="10"/>
        <v>0.81985982929706469</v>
      </c>
      <c r="I24" s="6">
        <f t="shared" si="10"/>
        <v>0.79375045103557773</v>
      </c>
      <c r="J24" s="6">
        <f>J10/J8</f>
        <v>0.74083631276231932</v>
      </c>
      <c r="Q24" s="6">
        <f t="shared" ref="Q24:R24" si="11">Q10/Q8</f>
        <v>0.80582795323678236</v>
      </c>
      <c r="R24" s="6">
        <f t="shared" si="11"/>
        <v>0.80794376277251567</v>
      </c>
      <c r="S24" s="6">
        <f>S10/S8</f>
        <v>0.78347297378418479</v>
      </c>
    </row>
    <row r="25" spans="1:19" x14ac:dyDescent="0.3">
      <c r="B25" t="s">
        <v>85</v>
      </c>
      <c r="C25" s="6">
        <f t="shared" ref="C25:I25" si="12">C18/C17</f>
        <v>0.17438928975049986</v>
      </c>
      <c r="D25" s="6">
        <f t="shared" si="12"/>
        <v>0.16934388236234316</v>
      </c>
      <c r="E25" s="6">
        <f t="shared" si="12"/>
        <v>0.12976810222432561</v>
      </c>
      <c r="F25" s="6">
        <f t="shared" si="12"/>
        <v>0.19028499448905684</v>
      </c>
      <c r="G25" s="6">
        <f t="shared" si="12"/>
        <v>0.1619892231701841</v>
      </c>
      <c r="H25" s="6">
        <f t="shared" si="12"/>
        <v>0.18311751771316884</v>
      </c>
      <c r="I25" s="6">
        <f t="shared" si="12"/>
        <v>0.21180057388809181</v>
      </c>
      <c r="J25" s="6">
        <f>J18/J17</f>
        <v>0.24345422019840623</v>
      </c>
      <c r="Q25" s="6">
        <f t="shared" ref="Q25:R25" si="13">Q18/Q17</f>
        <v>0.12157926461723931</v>
      </c>
      <c r="R25" s="6">
        <f t="shared" si="13"/>
        <v>0.1673540173000867</v>
      </c>
      <c r="S25" s="6">
        <f>S18/S17</f>
        <v>0.19501023630243935</v>
      </c>
    </row>
    <row r="26" spans="1:19" x14ac:dyDescent="0.3">
      <c r="B26" t="s">
        <v>86</v>
      </c>
      <c r="C26" s="6">
        <f t="shared" ref="C26:I26" si="14">C11/C8</f>
        <v>0.19857857934354819</v>
      </c>
      <c r="D26" s="6">
        <f t="shared" si="14"/>
        <v>0.2096502390205317</v>
      </c>
      <c r="E26" s="6">
        <f t="shared" si="14"/>
        <v>0.21771802826611514</v>
      </c>
      <c r="F26" s="6">
        <f t="shared" si="14"/>
        <v>0.20926019423242553</v>
      </c>
      <c r="G26" s="6">
        <f t="shared" si="14"/>
        <v>0.27615737422961156</v>
      </c>
      <c r="H26" s="6">
        <f t="shared" si="14"/>
        <v>0.30150579418499757</v>
      </c>
      <c r="I26" s="6">
        <f t="shared" si="14"/>
        <v>0.33087969979071952</v>
      </c>
      <c r="J26" s="6">
        <f>J11/J8</f>
        <v>0.30377739779263174</v>
      </c>
      <c r="Q26" s="6">
        <f t="shared" ref="Q26:R26" si="15">Q11/Q8</f>
        <v>0.21458733205374281</v>
      </c>
      <c r="R26" s="6">
        <f t="shared" si="15"/>
        <v>0.20906647219937419</v>
      </c>
      <c r="S26" s="6">
        <f>S11/S8</f>
        <v>0.30304693462768739</v>
      </c>
    </row>
    <row r="27" spans="1:19" x14ac:dyDescent="0.3">
      <c r="B27" t="s">
        <v>87</v>
      </c>
      <c r="C27" s="6">
        <f t="shared" ref="C27:I27" si="16">C12/C8</f>
        <v>0.10863169156700164</v>
      </c>
      <c r="D27" s="6">
        <f t="shared" si="16"/>
        <v>0.1120817140695395</v>
      </c>
      <c r="E27" s="6">
        <f t="shared" si="16"/>
        <v>0.1225094794898311</v>
      </c>
      <c r="F27" s="6">
        <f t="shared" si="16"/>
        <v>0.13029016067238872</v>
      </c>
      <c r="G27" s="6">
        <f t="shared" si="16"/>
        <v>0.11867564855955282</v>
      </c>
      <c r="H27" s="6">
        <f t="shared" si="16"/>
        <v>0.12473110818125044</v>
      </c>
      <c r="I27" s="6">
        <f t="shared" si="16"/>
        <v>0.13639315869235766</v>
      </c>
      <c r="J27" s="6">
        <f>J12/J8</f>
        <v>0.142204259288046</v>
      </c>
      <c r="Q27" s="6">
        <f t="shared" ref="Q27:R27" si="17">Q12/Q8</f>
        <v>0.13483394404699586</v>
      </c>
      <c r="R27" s="6">
        <f t="shared" si="17"/>
        <v>0.11908012448167965</v>
      </c>
      <c r="S27" s="6">
        <f>S12/S8</f>
        <v>0.13087326021147597</v>
      </c>
    </row>
    <row r="28" spans="1:19" x14ac:dyDescent="0.3">
      <c r="B28" t="s">
        <v>88</v>
      </c>
      <c r="C28" s="6">
        <f t="shared" ref="C28:I28" si="18">C13/C8</f>
        <v>6.1976997439914409E-2</v>
      </c>
      <c r="D28" s="6">
        <f t="shared" si="18"/>
        <v>6.7269663307769026E-2</v>
      </c>
      <c r="E28" s="6">
        <f t="shared" si="18"/>
        <v>0.10155118924508789</v>
      </c>
      <c r="F28" s="6">
        <f t="shared" si="18"/>
        <v>9.8155682931899857E-2</v>
      </c>
      <c r="G28" s="6">
        <f t="shared" si="18"/>
        <v>8.4563566002579901E-2</v>
      </c>
      <c r="H28" s="6">
        <f t="shared" si="18"/>
        <v>0.1036361113038651</v>
      </c>
      <c r="I28" s="6">
        <f t="shared" si="18"/>
        <v>0.12210435159125352</v>
      </c>
      <c r="J28" s="6">
        <f>J13/J8</f>
        <v>9.5911705269703093E-2</v>
      </c>
      <c r="Q28" s="6">
        <f t="shared" ref="Q28:R28" si="19">Q13/Q8</f>
        <v>7.6356656778921658E-2</v>
      </c>
      <c r="R28" s="6">
        <f t="shared" si="19"/>
        <v>8.3346759490880107E-2</v>
      </c>
      <c r="S28" s="6">
        <f>S13/S8</f>
        <v>0.10133008601394404</v>
      </c>
    </row>
    <row r="30" spans="1:19" x14ac:dyDescent="0.3">
      <c r="B30" t="s">
        <v>89</v>
      </c>
      <c r="G30" s="6">
        <f t="shared" ref="G30:I30" si="20">G3/C3-1</f>
        <v>6.1283855497464623E-2</v>
      </c>
      <c r="H30" s="6">
        <f t="shared" si="20"/>
        <v>-1.4975507347795625E-2</v>
      </c>
      <c r="I30" s="6">
        <f t="shared" si="20"/>
        <v>-3.674494270759654E-2</v>
      </c>
      <c r="J30" s="6">
        <f>J3/F3-1</f>
        <v>-4.2433898097368195E-2</v>
      </c>
      <c r="S30" s="6">
        <f>S3/R3-1</f>
        <v>-1.1249934745158119E-2</v>
      </c>
    </row>
    <row r="31" spans="1:19" x14ac:dyDescent="0.3">
      <c r="B31" t="s">
        <v>90</v>
      </c>
      <c r="G31" s="6">
        <f t="shared" ref="G31:I31" si="21">G6/C6-1</f>
        <v>0.30149812734082393</v>
      </c>
      <c r="H31" s="6">
        <f t="shared" si="21"/>
        <v>0.4819672131147541</v>
      </c>
      <c r="I31" s="6">
        <f t="shared" si="21"/>
        <v>-0.489247311827957</v>
      </c>
      <c r="J31" s="6">
        <f>J6/F6-1</f>
        <v>-0.17103762827822122</v>
      </c>
      <c r="S31" s="6">
        <f>S6/R6-1</f>
        <v>-5.0571679859278795E-2</v>
      </c>
    </row>
    <row r="33" spans="1:10" s="5" customFormat="1" x14ac:dyDescent="0.3">
      <c r="A33" s="4"/>
      <c r="B33" s="4" t="s">
        <v>33</v>
      </c>
      <c r="G33" s="5">
        <f>G34-G48</f>
        <v>50665</v>
      </c>
      <c r="H33" s="5">
        <f>H34-H48</f>
        <v>47025</v>
      </c>
      <c r="I33" s="5">
        <f>I34-I48</f>
        <v>38382</v>
      </c>
      <c r="J33" s="5">
        <f>J34-J48</f>
        <v>37016</v>
      </c>
    </row>
    <row r="34" spans="1:10" x14ac:dyDescent="0.3">
      <c r="B34" t="s">
        <v>3</v>
      </c>
      <c r="G34" s="1">
        <f>14886+29004+6775</f>
        <v>50665</v>
      </c>
      <c r="H34" s="1">
        <f>12681+27808+6536</f>
        <v>47025</v>
      </c>
      <c r="I34" s="1">
        <f>14308+27468+6528</f>
        <v>48304</v>
      </c>
      <c r="J34" s="1">
        <f>14681+26057+6201</f>
        <v>46939</v>
      </c>
    </row>
    <row r="35" spans="1:10" x14ac:dyDescent="0.3">
      <c r="B35" t="s">
        <v>34</v>
      </c>
      <c r="G35" s="1">
        <v>11390</v>
      </c>
      <c r="H35" s="1">
        <v>11525</v>
      </c>
      <c r="I35" s="1">
        <v>11227</v>
      </c>
      <c r="J35" s="1">
        <v>13466</v>
      </c>
    </row>
    <row r="36" spans="1:10" x14ac:dyDescent="0.3">
      <c r="B36" t="s">
        <v>35</v>
      </c>
      <c r="G36" s="1">
        <v>3985</v>
      </c>
      <c r="H36" s="1">
        <v>3973</v>
      </c>
      <c r="I36" s="1">
        <v>5312</v>
      </c>
      <c r="J36" s="1">
        <v>5345</v>
      </c>
    </row>
    <row r="37" spans="1:10" x14ac:dyDescent="0.3">
      <c r="B37" t="s">
        <v>36</v>
      </c>
      <c r="G37" s="1">
        <v>61582</v>
      </c>
      <c r="H37" s="1">
        <v>67588</v>
      </c>
      <c r="I37" s="1">
        <v>73738</v>
      </c>
      <c r="J37" s="1">
        <v>79518</v>
      </c>
    </row>
    <row r="38" spans="1:10" x14ac:dyDescent="0.3">
      <c r="B38" t="s">
        <v>37</v>
      </c>
      <c r="G38" s="1">
        <v>12241</v>
      </c>
      <c r="H38" s="1">
        <v>14130</v>
      </c>
      <c r="I38" s="1">
        <v>13641</v>
      </c>
      <c r="J38" s="1">
        <v>12673</v>
      </c>
    </row>
    <row r="39" spans="1:10" x14ac:dyDescent="0.3">
      <c r="B39" t="s">
        <v>38</v>
      </c>
      <c r="G39" s="1">
        <v>910</v>
      </c>
      <c r="H39" s="1">
        <v>965</v>
      </c>
      <c r="I39" s="1">
        <v>875</v>
      </c>
      <c r="J39" s="1">
        <v>897</v>
      </c>
    </row>
    <row r="40" spans="1:10" x14ac:dyDescent="0.3">
      <c r="B40" t="s">
        <v>39</v>
      </c>
      <c r="G40" s="1">
        <v>19923</v>
      </c>
      <c r="H40" s="1">
        <v>20229</v>
      </c>
      <c r="I40" s="1">
        <v>20268</v>
      </c>
      <c r="J40" s="1">
        <v>20306</v>
      </c>
    </row>
    <row r="41" spans="1:10" x14ac:dyDescent="0.3">
      <c r="B41" t="s">
        <v>40</v>
      </c>
      <c r="G41" s="1">
        <v>3522</v>
      </c>
      <c r="H41" s="1">
        <v>4344</v>
      </c>
      <c r="I41" s="1">
        <v>5529</v>
      </c>
      <c r="J41" s="1">
        <v>6583</v>
      </c>
    </row>
    <row r="42" spans="1:10" x14ac:dyDescent="0.3">
      <c r="B42" t="s">
        <v>41</v>
      </c>
      <c r="G42" s="1">
        <f>SUM(G34:G41)</f>
        <v>164218</v>
      </c>
      <c r="H42" s="1">
        <f>SUM(H34:H41)</f>
        <v>169779</v>
      </c>
      <c r="I42" s="1">
        <f>SUM(I34:I41)</f>
        <v>178894</v>
      </c>
      <c r="J42" s="1">
        <f>SUM(J34:J41)</f>
        <v>185727</v>
      </c>
    </row>
    <row r="44" spans="1:10" x14ac:dyDescent="0.3">
      <c r="B44" t="s">
        <v>42</v>
      </c>
      <c r="G44" s="1">
        <v>3246</v>
      </c>
      <c r="H44" s="1">
        <v>4008</v>
      </c>
      <c r="I44" s="1">
        <v>3871</v>
      </c>
      <c r="J44" s="1">
        <v>4990</v>
      </c>
    </row>
    <row r="45" spans="1:10" x14ac:dyDescent="0.3">
      <c r="B45" t="s">
        <v>43</v>
      </c>
      <c r="G45" s="1">
        <v>935</v>
      </c>
      <c r="H45" s="1">
        <v>982</v>
      </c>
      <c r="I45" s="1">
        <v>975</v>
      </c>
      <c r="J45" s="1">
        <v>1117</v>
      </c>
    </row>
    <row r="46" spans="1:10" x14ac:dyDescent="0.3">
      <c r="B46" t="s">
        <v>37</v>
      </c>
      <c r="G46" s="1">
        <f>1159+12894</f>
        <v>14053</v>
      </c>
      <c r="H46" s="1">
        <f>1275+14792</f>
        <v>16067</v>
      </c>
      <c r="I46" s="1">
        <f>1291+14687</f>
        <v>15978</v>
      </c>
      <c r="J46" s="1">
        <f>1367+15301</f>
        <v>16668</v>
      </c>
    </row>
    <row r="47" spans="1:10" x14ac:dyDescent="0.3">
      <c r="B47" t="s">
        <v>44</v>
      </c>
      <c r="G47" s="1">
        <f>15226+520</f>
        <v>15746</v>
      </c>
      <c r="H47" s="1">
        <f>15420+532</f>
        <v>15952</v>
      </c>
      <c r="I47" s="1">
        <f>16036+514</f>
        <v>16550</v>
      </c>
      <c r="J47" s="1">
        <v>19552</v>
      </c>
    </row>
    <row r="48" spans="1:10" x14ac:dyDescent="0.3">
      <c r="B48" t="s">
        <v>4</v>
      </c>
      <c r="G48" s="1">
        <v>0</v>
      </c>
      <c r="H48" s="1">
        <v>0</v>
      </c>
      <c r="I48" s="1">
        <v>9922</v>
      </c>
      <c r="J48" s="1">
        <v>9923</v>
      </c>
    </row>
    <row r="49" spans="2:10" x14ac:dyDescent="0.3">
      <c r="B49" t="s">
        <v>40</v>
      </c>
      <c r="G49" s="1">
        <v>7010</v>
      </c>
      <c r="H49" s="1">
        <v>7003</v>
      </c>
      <c r="I49" s="1">
        <v>7504</v>
      </c>
      <c r="J49" s="1">
        <v>7764</v>
      </c>
    </row>
    <row r="50" spans="2:10" x14ac:dyDescent="0.3">
      <c r="B50" t="s">
        <v>45</v>
      </c>
      <c r="G50" s="1">
        <f>SUM(G44:G49)</f>
        <v>40990</v>
      </c>
      <c r="H50" s="1">
        <f>SUM(H44:H49)</f>
        <v>44012</v>
      </c>
      <c r="I50" s="1">
        <f>SUM(I44:I49)</f>
        <v>54800</v>
      </c>
      <c r="J50" s="1">
        <f>SUM(J44:J49)</f>
        <v>60014</v>
      </c>
    </row>
    <row r="51" spans="2:10" x14ac:dyDescent="0.3">
      <c r="B51" t="s">
        <v>46</v>
      </c>
      <c r="G51" s="1">
        <v>123228</v>
      </c>
      <c r="H51" s="1">
        <v>125767</v>
      </c>
      <c r="I51" s="1">
        <v>124094</v>
      </c>
      <c r="J51" s="1">
        <v>125713</v>
      </c>
    </row>
    <row r="52" spans="2:10" x14ac:dyDescent="0.3">
      <c r="B52" t="s">
        <v>47</v>
      </c>
      <c r="G52" s="1">
        <f>SUM(G50:G51)</f>
        <v>164218</v>
      </c>
      <c r="H52" s="1">
        <f>SUM(H50:H51)</f>
        <v>169779</v>
      </c>
      <c r="I52" s="1">
        <f>SUM(I50:I51)</f>
        <v>178894</v>
      </c>
      <c r="J52" s="1">
        <f>SUM(J50:J51)</f>
        <v>185727</v>
      </c>
    </row>
    <row r="55" spans="2:10" x14ac:dyDescent="0.3">
      <c r="B55" t="s">
        <v>48</v>
      </c>
      <c r="G55" s="1">
        <f>G19</f>
        <v>7465</v>
      </c>
      <c r="H55" s="1">
        <f>H19</f>
        <v>6687</v>
      </c>
      <c r="I55" s="1">
        <f>I19</f>
        <v>4395</v>
      </c>
      <c r="J55" s="1">
        <f>J19</f>
        <v>4652</v>
      </c>
    </row>
    <row r="56" spans="2:10" x14ac:dyDescent="0.3">
      <c r="B56" t="s">
        <v>49</v>
      </c>
      <c r="G56" s="1">
        <v>7465</v>
      </c>
      <c r="H56" s="1">
        <v>6687</v>
      </c>
      <c r="I56" s="1">
        <v>4395</v>
      </c>
      <c r="J56" s="1">
        <v>4652</v>
      </c>
    </row>
    <row r="57" spans="2:10" x14ac:dyDescent="0.3">
      <c r="B57" t="s">
        <v>50</v>
      </c>
      <c r="G57" s="1">
        <v>2156</v>
      </c>
      <c r="H57" s="1">
        <v>1979</v>
      </c>
      <c r="I57" s="1">
        <v>2175</v>
      </c>
      <c r="J57" s="1">
        <v>2376</v>
      </c>
    </row>
    <row r="58" spans="2:10" x14ac:dyDescent="0.3">
      <c r="B58" t="s">
        <v>51</v>
      </c>
      <c r="G58" s="1">
        <v>2498</v>
      </c>
      <c r="H58" s="1">
        <v>3351</v>
      </c>
      <c r="I58" s="1">
        <v>3134</v>
      </c>
      <c r="J58" s="1">
        <v>3008</v>
      </c>
    </row>
    <row r="59" spans="2:10" x14ac:dyDescent="0.3">
      <c r="B59" t="s">
        <v>52</v>
      </c>
      <c r="G59" s="1">
        <v>-563</v>
      </c>
      <c r="H59" s="1">
        <v>-453</v>
      </c>
      <c r="I59" s="1">
        <v>-1097</v>
      </c>
      <c r="J59" s="1">
        <v>-1173</v>
      </c>
    </row>
    <row r="60" spans="2:10" x14ac:dyDescent="0.3">
      <c r="B60" t="s">
        <v>53</v>
      </c>
      <c r="G60" s="1">
        <v>0</v>
      </c>
      <c r="H60" s="1">
        <v>0</v>
      </c>
      <c r="I60" s="1">
        <v>413</v>
      </c>
      <c r="J60" s="1">
        <v>1805</v>
      </c>
    </row>
    <row r="61" spans="2:10" x14ac:dyDescent="0.3">
      <c r="B61" t="s">
        <v>54</v>
      </c>
      <c r="G61" s="1">
        <v>0</v>
      </c>
      <c r="H61" s="1">
        <v>0</v>
      </c>
      <c r="I61" s="1">
        <v>0</v>
      </c>
      <c r="J61" s="1">
        <v>1341</v>
      </c>
    </row>
    <row r="62" spans="2:10" x14ac:dyDescent="0.3">
      <c r="B62" t="s">
        <v>55</v>
      </c>
      <c r="G62" s="1">
        <v>0</v>
      </c>
      <c r="H62" s="1">
        <v>0</v>
      </c>
      <c r="I62" s="1">
        <v>0</v>
      </c>
      <c r="J62" s="1">
        <v>328</v>
      </c>
    </row>
    <row r="63" spans="2:10" x14ac:dyDescent="0.3">
      <c r="B63" t="s">
        <v>40</v>
      </c>
      <c r="G63" s="1">
        <v>-221</v>
      </c>
      <c r="H63" s="1">
        <v>189</v>
      </c>
      <c r="I63" s="1">
        <v>104</v>
      </c>
      <c r="J63" s="1">
        <v>244</v>
      </c>
    </row>
    <row r="64" spans="2:10" x14ac:dyDescent="0.3">
      <c r="B64" t="s">
        <v>34</v>
      </c>
      <c r="G64" s="1">
        <v>2557</v>
      </c>
      <c r="H64" s="1">
        <v>-522</v>
      </c>
      <c r="I64" s="1">
        <v>-105</v>
      </c>
      <c r="J64" s="1">
        <v>-1698</v>
      </c>
    </row>
    <row r="65" spans="2:10" x14ac:dyDescent="0.3">
      <c r="B65" t="s">
        <v>35</v>
      </c>
      <c r="G65" s="1">
        <v>573</v>
      </c>
      <c r="H65" s="1">
        <v>-435</v>
      </c>
      <c r="I65" s="1">
        <v>-830</v>
      </c>
      <c r="J65" s="1">
        <v>854</v>
      </c>
    </row>
    <row r="66" spans="2:10" x14ac:dyDescent="0.3">
      <c r="B66" t="s">
        <v>56</v>
      </c>
      <c r="G66" s="1">
        <v>-108</v>
      </c>
      <c r="H66" s="1">
        <v>-25</v>
      </c>
      <c r="I66" s="1">
        <v>-27</v>
      </c>
      <c r="J66" s="1">
        <v>54</v>
      </c>
    </row>
    <row r="67" spans="2:10" x14ac:dyDescent="0.3">
      <c r="B67" t="s">
        <v>42</v>
      </c>
      <c r="G67" s="1">
        <v>-882</v>
      </c>
      <c r="H67" s="1">
        <v>237</v>
      </c>
      <c r="I67" s="1">
        <v>-22</v>
      </c>
      <c r="J67" s="1">
        <v>876</v>
      </c>
    </row>
    <row r="68" spans="2:10" x14ac:dyDescent="0.3">
      <c r="B68" t="s">
        <v>43</v>
      </c>
      <c r="G68" s="1">
        <v>-105</v>
      </c>
      <c r="H68" s="1">
        <v>73</v>
      </c>
      <c r="I68" s="1">
        <v>20</v>
      </c>
      <c r="J68" s="1">
        <v>102</v>
      </c>
    </row>
    <row r="69" spans="2:10" x14ac:dyDescent="0.3">
      <c r="B69" t="s">
        <v>44</v>
      </c>
      <c r="G69" s="1">
        <v>763</v>
      </c>
      <c r="H69" s="1">
        <v>1180</v>
      </c>
      <c r="I69" s="1">
        <f>998+-7</f>
        <v>991</v>
      </c>
      <c r="J69" s="1">
        <v>1303</v>
      </c>
    </row>
    <row r="70" spans="2:10" x14ac:dyDescent="0.3">
      <c r="B70" t="s">
        <v>57</v>
      </c>
      <c r="G70" s="1">
        <f>+-52-5</f>
        <v>-57</v>
      </c>
      <c r="H70" s="1">
        <f>24-88</f>
        <v>-64</v>
      </c>
      <c r="I70" s="1">
        <v>540</v>
      </c>
      <c r="J70" s="1">
        <v>439</v>
      </c>
    </row>
    <row r="71" spans="2:10" x14ac:dyDescent="0.3">
      <c r="B71" t="s">
        <v>58</v>
      </c>
      <c r="G71" s="1">
        <f>SUM(G56:G70)</f>
        <v>14076</v>
      </c>
      <c r="H71" s="1">
        <f>SUM(H56:H70)</f>
        <v>12197</v>
      </c>
      <c r="I71" s="1">
        <f>SUM(I56:I70)</f>
        <v>9691</v>
      </c>
      <c r="J71" s="1">
        <f>SUM(J56:J70)</f>
        <v>14511</v>
      </c>
    </row>
    <row r="73" spans="2:10" x14ac:dyDescent="0.3">
      <c r="B73" t="s">
        <v>59</v>
      </c>
      <c r="G73" s="1">
        <v>-5441</v>
      </c>
      <c r="H73" s="1">
        <v>-7572</v>
      </c>
      <c r="I73" s="1">
        <v>-9375</v>
      </c>
      <c r="J73" s="1">
        <v>-9043</v>
      </c>
    </row>
    <row r="74" spans="2:10" x14ac:dyDescent="0.3">
      <c r="B74" t="s">
        <v>60</v>
      </c>
      <c r="G74" s="1">
        <v>126</v>
      </c>
      <c r="H74" s="1">
        <v>44</v>
      </c>
      <c r="I74" s="1">
        <v>20</v>
      </c>
      <c r="J74" s="1">
        <v>55</v>
      </c>
    </row>
    <row r="75" spans="2:10" x14ac:dyDescent="0.3">
      <c r="B75" t="s">
        <v>61</v>
      </c>
      <c r="G75" s="1">
        <v>-4068</v>
      </c>
      <c r="H75" s="1">
        <v>-2220</v>
      </c>
      <c r="I75" s="1">
        <v>-2597</v>
      </c>
      <c r="J75" s="1">
        <v>-741</v>
      </c>
    </row>
    <row r="76" spans="2:10" x14ac:dyDescent="0.3">
      <c r="B76" t="s">
        <v>62</v>
      </c>
      <c r="G76" s="1">
        <v>5065</v>
      </c>
      <c r="H76" s="1">
        <v>2648</v>
      </c>
      <c r="I76" s="1">
        <v>1620</v>
      </c>
      <c r="J76" s="1">
        <v>1750</v>
      </c>
    </row>
    <row r="77" spans="2:10" x14ac:dyDescent="0.3">
      <c r="B77" t="s">
        <v>63</v>
      </c>
      <c r="G77" s="1">
        <v>402</v>
      </c>
      <c r="H77" s="1">
        <v>511</v>
      </c>
      <c r="I77" s="1">
        <v>649</v>
      </c>
      <c r="J77" s="1">
        <v>513</v>
      </c>
    </row>
    <row r="78" spans="2:10" x14ac:dyDescent="0.3">
      <c r="B78" t="s">
        <v>64</v>
      </c>
      <c r="G78" s="1">
        <v>0</v>
      </c>
      <c r="H78" s="1">
        <v>0</v>
      </c>
      <c r="I78" s="1">
        <v>0</v>
      </c>
      <c r="J78" s="1">
        <v>0</v>
      </c>
    </row>
    <row r="79" spans="2:10" x14ac:dyDescent="0.3">
      <c r="B79" t="s">
        <v>65</v>
      </c>
      <c r="G79" s="1">
        <v>-853</v>
      </c>
      <c r="H79" s="1">
        <v>-363</v>
      </c>
      <c r="I79" s="1">
        <v>-34</v>
      </c>
      <c r="J79" s="1">
        <v>-62</v>
      </c>
    </row>
    <row r="80" spans="2:10" x14ac:dyDescent="0.3">
      <c r="B80" t="s">
        <v>40</v>
      </c>
      <c r="G80" s="1">
        <v>-10</v>
      </c>
      <c r="H80" s="1">
        <v>-7</v>
      </c>
      <c r="I80" s="1">
        <v>16</v>
      </c>
      <c r="J80" s="1">
        <v>-3</v>
      </c>
    </row>
    <row r="81" spans="1:19" x14ac:dyDescent="0.3">
      <c r="B81" t="s">
        <v>66</v>
      </c>
      <c r="G81" s="1">
        <f>SUM(G73:G80)</f>
        <v>-4779</v>
      </c>
      <c r="H81" s="1">
        <f>SUM(H73:H80)</f>
        <v>-6959</v>
      </c>
      <c r="I81" s="1">
        <f>SUM(I73:I80)</f>
        <v>-9701</v>
      </c>
      <c r="J81" s="1">
        <f>SUM(J73:J80)</f>
        <v>-7531</v>
      </c>
    </row>
    <row r="83" spans="1:19" x14ac:dyDescent="0.3">
      <c r="B83" t="s">
        <v>67</v>
      </c>
      <c r="G83" s="1">
        <v>-925</v>
      </c>
      <c r="H83" s="1">
        <v>-1002</v>
      </c>
      <c r="I83" s="1">
        <v>-1011</v>
      </c>
      <c r="J83" s="1">
        <v>-656</v>
      </c>
    </row>
    <row r="84" spans="1:19" x14ac:dyDescent="0.3">
      <c r="B84" t="s">
        <v>68</v>
      </c>
      <c r="G84" s="1">
        <v>-9506</v>
      </c>
      <c r="H84" s="1">
        <v>-5233</v>
      </c>
      <c r="I84" s="1">
        <v>-6354</v>
      </c>
      <c r="J84" s="1">
        <v>-6863</v>
      </c>
    </row>
    <row r="85" spans="1:19" x14ac:dyDescent="0.3">
      <c r="B85" t="s">
        <v>69</v>
      </c>
      <c r="G85" s="1">
        <v>0</v>
      </c>
      <c r="H85" s="1">
        <v>0</v>
      </c>
      <c r="I85" s="1">
        <v>9921</v>
      </c>
      <c r="J85" s="1">
        <v>0</v>
      </c>
    </row>
    <row r="86" spans="1:19" x14ac:dyDescent="0.3">
      <c r="B86" t="s">
        <v>70</v>
      </c>
      <c r="G86" s="1">
        <v>-233</v>
      </c>
      <c r="H86" s="1">
        <v>-219</v>
      </c>
      <c r="I86" s="1">
        <v>-163</v>
      </c>
      <c r="J86" s="1">
        <v>-235</v>
      </c>
    </row>
    <row r="87" spans="1:19" x14ac:dyDescent="0.3">
      <c r="B87" t="s">
        <v>40</v>
      </c>
      <c r="G87" s="1">
        <f>20-16</f>
        <v>4</v>
      </c>
      <c r="H87" s="1">
        <f>+-79-30</f>
        <v>-109</v>
      </c>
      <c r="I87" s="1">
        <f>+-55+-191</f>
        <v>-246</v>
      </c>
      <c r="J87" s="1">
        <v>695</v>
      </c>
    </row>
    <row r="88" spans="1:19" x14ac:dyDescent="0.3">
      <c r="B88" t="s">
        <v>71</v>
      </c>
      <c r="G88" s="1">
        <f>SUM(G83:G87)</f>
        <v>-10660</v>
      </c>
      <c r="H88" s="1">
        <f>SUM(H83:H87)</f>
        <v>-6563</v>
      </c>
      <c r="I88" s="1">
        <f>SUM(I83:I87)</f>
        <v>2147</v>
      </c>
      <c r="J88" s="1">
        <f>SUM(J83:J87)</f>
        <v>-7059</v>
      </c>
    </row>
    <row r="90" spans="1:19" x14ac:dyDescent="0.3">
      <c r="B90" t="s">
        <v>72</v>
      </c>
      <c r="G90" s="1">
        <v>-149</v>
      </c>
      <c r="H90" s="1">
        <v>-550</v>
      </c>
      <c r="I90" s="1">
        <v>-364</v>
      </c>
      <c r="J90" s="1">
        <v>424</v>
      </c>
    </row>
    <row r="91" spans="1:19" x14ac:dyDescent="0.3">
      <c r="B91" t="s">
        <v>73</v>
      </c>
      <c r="G91" s="1">
        <f>G90+G88+G81+G71</f>
        <v>-1512</v>
      </c>
      <c r="H91" s="1">
        <f>H90+H88+H81+H71</f>
        <v>-1875</v>
      </c>
      <c r="I91" s="1">
        <f>I90+I88+I81+I71</f>
        <v>1773</v>
      </c>
      <c r="J91" s="1">
        <f>J90+J88+J81+J71</f>
        <v>345</v>
      </c>
    </row>
    <row r="92" spans="1:19" x14ac:dyDescent="0.3">
      <c r="B92" t="s">
        <v>74</v>
      </c>
    </row>
    <row r="93" spans="1:19" x14ac:dyDescent="0.3">
      <c r="B93" t="s">
        <v>75</v>
      </c>
    </row>
    <row r="95" spans="1:19" s="5" customFormat="1" x14ac:dyDescent="0.3">
      <c r="A95" s="4"/>
      <c r="B95" s="4" t="s">
        <v>76</v>
      </c>
      <c r="G95" s="5">
        <f>G71+G73</f>
        <v>8635</v>
      </c>
      <c r="H95" s="5">
        <f>H71+H73</f>
        <v>4625</v>
      </c>
      <c r="I95" s="5">
        <f>I71+I73</f>
        <v>316</v>
      </c>
      <c r="J95" s="5">
        <f>J71+J73</f>
        <v>5468</v>
      </c>
      <c r="S95" s="5">
        <f>SUM(G95:J95)</f>
        <v>19044</v>
      </c>
    </row>
  </sheetData>
  <hyperlinks>
    <hyperlink ref="A1" location="Main!A1" display="Main" xr:uid="{5D17ADF9-CD5A-4A43-B387-86E2D6DA2CA3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2023-03-23T16:50:36Z</dcterms:modified>
</cp:coreProperties>
</file>