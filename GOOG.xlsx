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C:\Users\micha\models\financial-models\"/>
    </mc:Choice>
  </mc:AlternateContent>
  <xr:revisionPtr revIDLastSave="0" documentId="13_ncr:1_{2278D91B-A71A-4D61-B898-18B2CE4803A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" i="2" l="1"/>
  <c r="I33" i="2"/>
  <c r="H33" i="2"/>
  <c r="G33" i="2"/>
  <c r="F33" i="2"/>
  <c r="E33" i="2"/>
  <c r="D33" i="2"/>
  <c r="J32" i="2"/>
  <c r="I32" i="2"/>
  <c r="H32" i="2"/>
  <c r="G32" i="2"/>
  <c r="F32" i="2"/>
  <c r="E32" i="2"/>
  <c r="D32" i="2"/>
  <c r="J31" i="2"/>
  <c r="I31" i="2"/>
  <c r="H31" i="2"/>
  <c r="G31" i="2"/>
  <c r="F31" i="2"/>
  <c r="E31" i="2"/>
  <c r="D31" i="2"/>
  <c r="C33" i="2"/>
  <c r="C32" i="2"/>
  <c r="C31" i="2"/>
  <c r="I41" i="2"/>
  <c r="H41" i="2"/>
  <c r="G41" i="2"/>
  <c r="I39" i="2"/>
  <c r="H39" i="2"/>
  <c r="G39" i="2"/>
  <c r="G38" i="2"/>
  <c r="I37" i="2"/>
  <c r="H37" i="2"/>
  <c r="G37" i="2"/>
  <c r="I36" i="2"/>
  <c r="H36" i="2"/>
  <c r="G36" i="2"/>
  <c r="I35" i="2"/>
  <c r="H35" i="2"/>
  <c r="G35" i="2"/>
  <c r="J41" i="2"/>
  <c r="J39" i="2"/>
  <c r="J37" i="2"/>
  <c r="J36" i="2"/>
  <c r="J35" i="2"/>
  <c r="R11" i="2"/>
  <c r="R10" i="2"/>
  <c r="R9" i="2"/>
  <c r="R7" i="2"/>
  <c r="R5" i="2"/>
  <c r="R4" i="2"/>
  <c r="R3" i="2"/>
  <c r="R6" i="2" s="1"/>
  <c r="R8" i="2" s="1"/>
  <c r="S11" i="2"/>
  <c r="S10" i="2"/>
  <c r="S9" i="2"/>
  <c r="S7" i="2"/>
  <c r="S5" i="2"/>
  <c r="S4" i="2"/>
  <c r="S3" i="2"/>
  <c r="S6" i="2" s="1"/>
  <c r="S8" i="2" s="1"/>
  <c r="D6" i="2"/>
  <c r="D8" i="2" s="1"/>
  <c r="D13" i="2" s="1"/>
  <c r="D15" i="2" s="1"/>
  <c r="D29" i="2" s="1"/>
  <c r="H6" i="2"/>
  <c r="H8" i="2" s="1"/>
  <c r="H13" i="2" s="1"/>
  <c r="E6" i="2"/>
  <c r="E8" i="2" s="1"/>
  <c r="E13" i="2" s="1"/>
  <c r="I6" i="2"/>
  <c r="I8" i="2" s="1"/>
  <c r="I13" i="2" s="1"/>
  <c r="F6" i="2"/>
  <c r="F8" i="2" s="1"/>
  <c r="F13" i="2" s="1"/>
  <c r="F15" i="2" s="1"/>
  <c r="F29" i="2" s="1"/>
  <c r="J6" i="2"/>
  <c r="J8" i="2" s="1"/>
  <c r="J13" i="2" s="1"/>
  <c r="C6" i="2"/>
  <c r="C8" i="2" s="1"/>
  <c r="C13" i="2" s="1"/>
  <c r="C15" i="2" s="1"/>
  <c r="G6" i="2"/>
  <c r="G8" i="2" s="1"/>
  <c r="G13" i="2" s="1"/>
  <c r="G102" i="2"/>
  <c r="G95" i="2"/>
  <c r="G86" i="2"/>
  <c r="G109" i="2" s="1"/>
  <c r="G62" i="2"/>
  <c r="G60" i="2"/>
  <c r="G66" i="2" s="1"/>
  <c r="G68" i="2" s="1"/>
  <c r="G44" i="2"/>
  <c r="G43" i="2" s="1"/>
  <c r="G48" i="2"/>
  <c r="H102" i="2"/>
  <c r="H95" i="2"/>
  <c r="H86" i="2"/>
  <c r="H109" i="2" s="1"/>
  <c r="H62" i="2"/>
  <c r="H60" i="2"/>
  <c r="H48" i="2"/>
  <c r="H44" i="2"/>
  <c r="H43" i="2" s="1"/>
  <c r="S26" i="2"/>
  <c r="S23" i="2"/>
  <c r="S21" i="2"/>
  <c r="S18" i="2"/>
  <c r="S17" i="2"/>
  <c r="S16" i="2"/>
  <c r="S14" i="2"/>
  <c r="R26" i="2"/>
  <c r="R23" i="2"/>
  <c r="R21" i="2"/>
  <c r="R18" i="2"/>
  <c r="R17" i="2"/>
  <c r="R16" i="2"/>
  <c r="R19" i="2" s="1"/>
  <c r="R14" i="2"/>
  <c r="R2" i="2"/>
  <c r="S2" i="2" s="1"/>
  <c r="T2" i="2" s="1"/>
  <c r="U2" i="2" s="1"/>
  <c r="V2" i="2" s="1"/>
  <c r="W2" i="2" s="1"/>
  <c r="X2" i="2" s="1"/>
  <c r="Y2" i="2" s="1"/>
  <c r="Z2" i="2" s="1"/>
  <c r="AA2" i="2" s="1"/>
  <c r="AB2" i="2" s="1"/>
  <c r="AC2" i="2" s="1"/>
  <c r="G26" i="2"/>
  <c r="C19" i="2"/>
  <c r="G19" i="2"/>
  <c r="D19" i="2"/>
  <c r="H19" i="2"/>
  <c r="I102" i="2"/>
  <c r="I95" i="2"/>
  <c r="I86" i="2"/>
  <c r="I109" i="2" s="1"/>
  <c r="I62" i="2"/>
  <c r="I60" i="2"/>
  <c r="I48" i="2"/>
  <c r="I44" i="2"/>
  <c r="I43" i="2" s="1"/>
  <c r="E19" i="2"/>
  <c r="I19" i="2"/>
  <c r="J102" i="2"/>
  <c r="J95" i="2"/>
  <c r="J86" i="2"/>
  <c r="J109" i="2" s="1"/>
  <c r="J60" i="2"/>
  <c r="J66" i="2" s="1"/>
  <c r="J68" i="2" s="1"/>
  <c r="J7" i="1"/>
  <c r="J9" i="1" s="1"/>
  <c r="J44" i="2"/>
  <c r="J54" i="2" s="1"/>
  <c r="F19" i="2"/>
  <c r="J19" i="2"/>
  <c r="J5" i="1"/>
  <c r="J6" i="1" s="1"/>
  <c r="H40" i="2" l="1"/>
  <c r="G40" i="2"/>
  <c r="S40" i="2"/>
  <c r="S36" i="2"/>
  <c r="S37" i="2"/>
  <c r="S39" i="2"/>
  <c r="S41" i="2"/>
  <c r="J38" i="2"/>
  <c r="I40" i="2"/>
  <c r="J40" i="2"/>
  <c r="S35" i="2"/>
  <c r="S38" i="2"/>
  <c r="H38" i="2"/>
  <c r="I38" i="2"/>
  <c r="S13" i="2"/>
  <c r="R13" i="2"/>
  <c r="R15" i="2" s="1"/>
  <c r="S19" i="2"/>
  <c r="H28" i="2"/>
  <c r="H15" i="2"/>
  <c r="H20" i="2" s="1"/>
  <c r="H22" i="2" s="1"/>
  <c r="H24" i="2" s="1"/>
  <c r="H25" i="2" s="1"/>
  <c r="E15" i="2"/>
  <c r="E20" i="2" s="1"/>
  <c r="E22" i="2" s="1"/>
  <c r="E24" i="2" s="1"/>
  <c r="E25" i="2" s="1"/>
  <c r="I28" i="2"/>
  <c r="I15" i="2"/>
  <c r="I29" i="2" s="1"/>
  <c r="J28" i="2"/>
  <c r="J15" i="2"/>
  <c r="J29" i="2" s="1"/>
  <c r="G28" i="2"/>
  <c r="G15" i="2"/>
  <c r="G20" i="2" s="1"/>
  <c r="G22" i="2" s="1"/>
  <c r="G54" i="2"/>
  <c r="G105" i="2"/>
  <c r="H54" i="2"/>
  <c r="H66" i="2"/>
  <c r="H68" i="2" s="1"/>
  <c r="S109" i="2"/>
  <c r="C20" i="2"/>
  <c r="C22" i="2" s="1"/>
  <c r="C24" i="2" s="1"/>
  <c r="H105" i="2"/>
  <c r="C29" i="2"/>
  <c r="I66" i="2"/>
  <c r="I68" i="2" s="1"/>
  <c r="I105" i="2"/>
  <c r="I54" i="2"/>
  <c r="D20" i="2"/>
  <c r="D22" i="2" s="1"/>
  <c r="J105" i="2"/>
  <c r="J43" i="2"/>
  <c r="F20" i="2"/>
  <c r="F22" i="2" s="1"/>
  <c r="J20" i="2" l="1"/>
  <c r="J22" i="2" s="1"/>
  <c r="J24" i="2" s="1"/>
  <c r="J25" i="2" s="1"/>
  <c r="R20" i="2"/>
  <c r="R22" i="2" s="1"/>
  <c r="R29" i="2"/>
  <c r="S15" i="2"/>
  <c r="S28" i="2"/>
  <c r="E29" i="2"/>
  <c r="E30" i="2"/>
  <c r="H29" i="2"/>
  <c r="H30" i="2"/>
  <c r="C30" i="2"/>
  <c r="H71" i="2"/>
  <c r="I20" i="2"/>
  <c r="I22" i="2" s="1"/>
  <c r="I24" i="2" s="1"/>
  <c r="I25" i="2" s="1"/>
  <c r="G29" i="2"/>
  <c r="G24" i="2"/>
  <c r="G30" i="2"/>
  <c r="F24" i="2"/>
  <c r="F25" i="2" s="1"/>
  <c r="F30" i="2"/>
  <c r="D24" i="2"/>
  <c r="D25" i="2" s="1"/>
  <c r="D30" i="2"/>
  <c r="J30" i="2" l="1"/>
  <c r="S20" i="2"/>
  <c r="S22" i="2" s="1"/>
  <c r="S29" i="2"/>
  <c r="R24" i="2"/>
  <c r="R25" i="2" s="1"/>
  <c r="R30" i="2"/>
  <c r="I30" i="2"/>
  <c r="G25" i="2"/>
  <c r="G71" i="2"/>
  <c r="J71" i="2"/>
  <c r="I71" i="2"/>
  <c r="S24" i="2" l="1"/>
  <c r="S25" i="2" s="1"/>
  <c r="S30" i="2"/>
</calcChain>
</file>

<file path=xl/sharedStrings.xml><?xml version="1.0" encoding="utf-8"?>
<sst xmlns="http://schemas.openxmlformats.org/spreadsheetml/2006/main" count="121" uniqueCount="108">
  <si>
    <t>Price</t>
  </si>
  <si>
    <t>S/O</t>
  </si>
  <si>
    <t>MC</t>
  </si>
  <si>
    <t>Cash</t>
  </si>
  <si>
    <t xml:space="preserve">Debt </t>
  </si>
  <si>
    <t xml:space="preserve">EV </t>
  </si>
  <si>
    <t>Q422</t>
  </si>
  <si>
    <t xml:space="preserve">Revenue </t>
  </si>
  <si>
    <t xml:space="preserve">GOGS </t>
  </si>
  <si>
    <t xml:space="preserve">Gross Profit </t>
  </si>
  <si>
    <t>R&amp;D</t>
  </si>
  <si>
    <t>S&amp;M</t>
  </si>
  <si>
    <t>G&amp;A</t>
  </si>
  <si>
    <t xml:space="preserve">Operating Expenses </t>
  </si>
  <si>
    <t>Operating Income</t>
  </si>
  <si>
    <t xml:space="preserve">Other Income </t>
  </si>
  <si>
    <t xml:space="preserve">Pretax Income </t>
  </si>
  <si>
    <t xml:space="preserve">Taxes </t>
  </si>
  <si>
    <t xml:space="preserve">Net Income </t>
  </si>
  <si>
    <t xml:space="preserve">EPS </t>
  </si>
  <si>
    <t>Q322</t>
  </si>
  <si>
    <t>Q222</t>
  </si>
  <si>
    <t>Q122</t>
  </si>
  <si>
    <t>Q421</t>
  </si>
  <si>
    <t>Q321</t>
  </si>
  <si>
    <t>Q221</t>
  </si>
  <si>
    <t>Q121</t>
  </si>
  <si>
    <t>Q123</t>
  </si>
  <si>
    <t>Q223</t>
  </si>
  <si>
    <t>Q323</t>
  </si>
  <si>
    <t>Q423</t>
  </si>
  <si>
    <t xml:space="preserve">Net Cash </t>
  </si>
  <si>
    <t xml:space="preserve">Cash </t>
  </si>
  <si>
    <t>A/R</t>
  </si>
  <si>
    <t xml:space="preserve">Inventory </t>
  </si>
  <si>
    <t xml:space="preserve">OCA </t>
  </si>
  <si>
    <t>DT</t>
  </si>
  <si>
    <t>PP&amp;E</t>
  </si>
  <si>
    <t xml:space="preserve">Operating lease </t>
  </si>
  <si>
    <t xml:space="preserve">Intangibles </t>
  </si>
  <si>
    <t xml:space="preserve">Goodwill </t>
  </si>
  <si>
    <t>ONCA</t>
  </si>
  <si>
    <t xml:space="preserve">Assets </t>
  </si>
  <si>
    <t>A/P</t>
  </si>
  <si>
    <t xml:space="preserve">Compensation &amp; benefits </t>
  </si>
  <si>
    <t xml:space="preserve">AE &amp; OCL </t>
  </si>
  <si>
    <t xml:space="preserve">Revenue share </t>
  </si>
  <si>
    <t xml:space="preserve">Deferred revenue </t>
  </si>
  <si>
    <t xml:space="preserve">OLTL </t>
  </si>
  <si>
    <t xml:space="preserve">Liabilities </t>
  </si>
  <si>
    <t>S/E</t>
  </si>
  <si>
    <t>L + S/E</t>
  </si>
  <si>
    <t xml:space="preserve">Taxes payable </t>
  </si>
  <si>
    <t xml:space="preserve">DT </t>
  </si>
  <si>
    <t xml:space="preserve">Model NI </t>
  </si>
  <si>
    <t xml:space="preserve">Reported NI </t>
  </si>
  <si>
    <t xml:space="preserve">Depreciation </t>
  </si>
  <si>
    <t xml:space="preserve">Amortization </t>
  </si>
  <si>
    <t xml:space="preserve">SBC </t>
  </si>
  <si>
    <t xml:space="preserve">Securities </t>
  </si>
  <si>
    <t xml:space="preserve">Other </t>
  </si>
  <si>
    <t xml:space="preserve">AE &amp; OL </t>
  </si>
  <si>
    <t xml:space="preserve">DR </t>
  </si>
  <si>
    <t xml:space="preserve">CFFO </t>
  </si>
  <si>
    <t xml:space="preserve">CapEx </t>
  </si>
  <si>
    <t xml:space="preserve">Purchases MS </t>
  </si>
  <si>
    <t xml:space="preserve">Maturities &amp; sales MS </t>
  </si>
  <si>
    <t xml:space="preserve">Purchases NMS </t>
  </si>
  <si>
    <t xml:space="preserve">Maturities &amp; sales NMS </t>
  </si>
  <si>
    <t xml:space="preserve">Acquisitions </t>
  </si>
  <si>
    <t xml:space="preserve">CFFI </t>
  </si>
  <si>
    <t xml:space="preserve">Stock-based awards </t>
  </si>
  <si>
    <t xml:space="preserve">Repurchases </t>
  </si>
  <si>
    <t xml:space="preserve">Proceeds of debt </t>
  </si>
  <si>
    <t xml:space="preserve">Proceeds consolidated entities </t>
  </si>
  <si>
    <t xml:space="preserve">CFFF </t>
  </si>
  <si>
    <t xml:space="preserve">Repayments of debt </t>
  </si>
  <si>
    <t>FX</t>
  </si>
  <si>
    <t xml:space="preserve">CIC </t>
  </si>
  <si>
    <t xml:space="preserve">Beginning cash </t>
  </si>
  <si>
    <t xml:space="preserve">Ending Cash </t>
  </si>
  <si>
    <t>FCF</t>
  </si>
  <si>
    <t>Dec 31/2022</t>
  </si>
  <si>
    <t>Sept 30/2022</t>
  </si>
  <si>
    <t>June 30/2022</t>
  </si>
  <si>
    <t>Mar 31/2022</t>
  </si>
  <si>
    <t>Revenue y/y</t>
  </si>
  <si>
    <t xml:space="preserve">Gross Margin </t>
  </si>
  <si>
    <t xml:space="preserve">Tax Rate </t>
  </si>
  <si>
    <t xml:space="preserve">Google Search &amp; Other </t>
  </si>
  <si>
    <t xml:space="preserve">YouTube Ads </t>
  </si>
  <si>
    <t xml:space="preserve">Google Network </t>
  </si>
  <si>
    <t xml:space="preserve">Google Other </t>
  </si>
  <si>
    <t xml:space="preserve">Google Cloud </t>
  </si>
  <si>
    <t xml:space="preserve">Other Bets </t>
  </si>
  <si>
    <t xml:space="preserve">Hedging Gains </t>
  </si>
  <si>
    <t xml:space="preserve">   Google Advertising </t>
  </si>
  <si>
    <t xml:space="preserve">   Google Services </t>
  </si>
  <si>
    <t>Search y/y</t>
  </si>
  <si>
    <t>YouTube y/y</t>
  </si>
  <si>
    <t xml:space="preserve">Network y/y </t>
  </si>
  <si>
    <t>Advertising y/y</t>
  </si>
  <si>
    <t>Other y/y</t>
  </si>
  <si>
    <t>Services y/y</t>
  </si>
  <si>
    <t>Cloud y/y</t>
  </si>
  <si>
    <t xml:space="preserve">R&amp;D % </t>
  </si>
  <si>
    <t xml:space="preserve">S&amp;M % </t>
  </si>
  <si>
    <t xml:space="preserve">G&amp;A %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</si>
</sst>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3" fontId="0" fillId="0" borderId="0" xfId="0" applyNumberFormat="1"/>
    <xf numFmtId="4" fontId="0" fillId="0" borderId="0" xfId="0" applyNumberFormat="1"/>
    <xf numFmtId="0" fontId="2" fillId="0" borderId="0" xfId="0" applyFont="1"/>
    <xf numFmtId="3" fontId="2" fillId="0" borderId="0" xfId="0" applyNumberFormat="1" applyFont="1"/>
    <xf numFmtId="9" fontId="0" fillId="0" borderId="0" xfId="1" applyFont="1"/>
    <xf numFmtId="0" fontId="0" fillId="0" borderId="0" xfId="0" applyFont="1"/>
    <xf numFmtId="3" fontId="0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15240</xdr:colOff>
      <xdr:row>0</xdr:row>
      <xdr:rowOff>175260</xdr:rowOff>
    </xdr:from>
    <xdr:to>
      <xdr:col>10</xdr:col>
      <xdr:colOff>15240</xdr:colOff>
      <xdr:row>54</xdr:row>
      <xdr:rowOff>121920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094EADA-C41A-34F5-5ECC-EC650370E627}"/>
            </a:ext>
          </a:extLst>
        </xdr:cNvPr>
        <xdr:cNvCxnSpPr/>
      </xdr:nvCxnSpPr>
      <xdr:spPr>
        <a:xfrm>
          <a:off x="7345680" y="175260"/>
          <a:ext cx="0" cy="56159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0</xdr:colOff>
      <xdr:row>0</xdr:row>
      <xdr:rowOff>114300</xdr:rowOff>
    </xdr:from>
    <xdr:to>
      <xdr:col>19</xdr:col>
      <xdr:colOff>7620</xdr:colOff>
      <xdr:row>28</xdr:row>
      <xdr:rowOff>137160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A136CC44-2F23-124C-903B-6FCF56F100E5}"/>
            </a:ext>
          </a:extLst>
        </xdr:cNvPr>
        <xdr:cNvCxnSpPr/>
      </xdr:nvCxnSpPr>
      <xdr:spPr>
        <a:xfrm flipH="1">
          <a:off x="12816840" y="114300"/>
          <a:ext cx="7620" cy="33147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I1:K9"/>
  <sheetViews>
    <sheetView workbookViewId="0">
      <selection activeCell="J7" sqref="J7"/>
    </sheetView>
  </sheetViews>
  <sheetFormatPr defaultRowHeight="14.4" x14ac:dyDescent="0.3"/>
  <cols>
    <col min="10" max="10" width="8.88671875" style="1"/>
  </cols>
  <sheetData>
    <row r="1" spans="9:11" x14ac:dyDescent="0.3">
      <c r="J1"/>
    </row>
    <row r="2" spans="9:11" x14ac:dyDescent="0.3">
      <c r="J2"/>
    </row>
    <row r="3" spans="9:11" x14ac:dyDescent="0.3">
      <c r="J3"/>
    </row>
    <row r="4" spans="9:11" x14ac:dyDescent="0.3">
      <c r="I4" t="s">
        <v>0</v>
      </c>
      <c r="J4">
        <v>104.36</v>
      </c>
    </row>
    <row r="5" spans="9:11" x14ac:dyDescent="0.3">
      <c r="I5" t="s">
        <v>1</v>
      </c>
      <c r="J5" s="1">
        <f>5956+883+5968</f>
        <v>12807</v>
      </c>
      <c r="K5" t="s">
        <v>6</v>
      </c>
    </row>
    <row r="6" spans="9:11" x14ac:dyDescent="0.3">
      <c r="I6" t="s">
        <v>2</v>
      </c>
      <c r="J6" s="1">
        <f>J4*J5</f>
        <v>1336538.52</v>
      </c>
    </row>
    <row r="7" spans="9:11" x14ac:dyDescent="0.3">
      <c r="I7" t="s">
        <v>3</v>
      </c>
      <c r="J7" s="1">
        <f>21879+91883+30492</f>
        <v>144254</v>
      </c>
      <c r="K7" t="s">
        <v>6</v>
      </c>
    </row>
    <row r="8" spans="9:11" x14ac:dyDescent="0.3">
      <c r="I8" t="s">
        <v>4</v>
      </c>
      <c r="J8" s="1">
        <v>14701</v>
      </c>
      <c r="K8" t="s">
        <v>6</v>
      </c>
    </row>
    <row r="9" spans="9:11" x14ac:dyDescent="0.3">
      <c r="I9" t="s">
        <v>5</v>
      </c>
      <c r="J9" s="1">
        <f>J6-J7+J8</f>
        <v>1206985.52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5AAC7-0C74-4175-A509-F8C6D1FBBAAD}">
  <dimension ref="A1:AC109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K32" sqref="K32"/>
    </sheetView>
  </sheetViews>
  <sheetFormatPr defaultRowHeight="14.4" x14ac:dyDescent="0.3"/>
  <cols>
    <col min="2" max="2" width="26.6640625" bestFit="1" customWidth="1"/>
    <col min="3" max="3" width="9.109375" style="1" customWidth="1"/>
    <col min="4" max="16384" width="8.88671875" style="1"/>
  </cols>
  <sheetData>
    <row r="1" spans="1:29" customFormat="1" x14ac:dyDescent="0.3">
      <c r="G1" t="s">
        <v>85</v>
      </c>
      <c r="H1" t="s">
        <v>84</v>
      </c>
      <c r="I1" t="s">
        <v>83</v>
      </c>
      <c r="J1" t="s">
        <v>82</v>
      </c>
    </row>
    <row r="2" spans="1:29" customFormat="1" x14ac:dyDescent="0.3">
      <c r="C2" t="s">
        <v>26</v>
      </c>
      <c r="D2" t="s">
        <v>25</v>
      </c>
      <c r="E2" t="s">
        <v>24</v>
      </c>
      <c r="F2" t="s">
        <v>23</v>
      </c>
      <c r="G2" t="s">
        <v>22</v>
      </c>
      <c r="H2" t="s">
        <v>21</v>
      </c>
      <c r="I2" t="s">
        <v>20</v>
      </c>
      <c r="J2" t="s">
        <v>6</v>
      </c>
      <c r="K2" t="s">
        <v>27</v>
      </c>
      <c r="L2" t="s">
        <v>28</v>
      </c>
      <c r="M2" t="s">
        <v>29</v>
      </c>
      <c r="N2" t="s">
        <v>30</v>
      </c>
      <c r="Q2">
        <v>2020</v>
      </c>
      <c r="R2">
        <f>Q2+1</f>
        <v>2021</v>
      </c>
      <c r="S2">
        <f t="shared" ref="S2:AC2" si="0">R2+1</f>
        <v>2022</v>
      </c>
      <c r="T2">
        <f t="shared" si="0"/>
        <v>2023</v>
      </c>
      <c r="U2">
        <f t="shared" si="0"/>
        <v>2024</v>
      </c>
      <c r="V2">
        <f t="shared" si="0"/>
        <v>2025</v>
      </c>
      <c r="W2">
        <f t="shared" si="0"/>
        <v>2026</v>
      </c>
      <c r="X2">
        <f t="shared" si="0"/>
        <v>2027</v>
      </c>
      <c r="Y2">
        <f t="shared" si="0"/>
        <v>2028</v>
      </c>
      <c r="Z2">
        <f t="shared" si="0"/>
        <v>2029</v>
      </c>
      <c r="AA2">
        <f t="shared" si="0"/>
        <v>2030</v>
      </c>
      <c r="AB2">
        <f t="shared" si="0"/>
        <v>2031</v>
      </c>
      <c r="AC2">
        <f t="shared" si="0"/>
        <v>2032</v>
      </c>
    </row>
    <row r="3" spans="1:29" x14ac:dyDescent="0.3">
      <c r="B3" t="s">
        <v>89</v>
      </c>
      <c r="C3" s="1">
        <v>31879</v>
      </c>
      <c r="D3" s="1">
        <v>35845</v>
      </c>
      <c r="E3" s="1">
        <v>37926</v>
      </c>
      <c r="F3" s="1">
        <v>43301</v>
      </c>
      <c r="G3" s="1">
        <v>39618</v>
      </c>
      <c r="H3" s="1">
        <v>40689</v>
      </c>
      <c r="I3" s="1">
        <v>39539</v>
      </c>
      <c r="J3" s="1">
        <v>42604</v>
      </c>
      <c r="R3" s="1">
        <f>SUM(C3:F3)</f>
        <v>148951</v>
      </c>
      <c r="S3" s="1">
        <f>SUM(G3:J3)</f>
        <v>162450</v>
      </c>
    </row>
    <row r="4" spans="1:29" x14ac:dyDescent="0.3">
      <c r="B4" t="s">
        <v>90</v>
      </c>
      <c r="C4" s="1">
        <v>6005</v>
      </c>
      <c r="D4" s="1">
        <v>7002</v>
      </c>
      <c r="E4" s="1">
        <v>7205</v>
      </c>
      <c r="F4" s="1">
        <v>8633</v>
      </c>
      <c r="G4" s="1">
        <v>6869</v>
      </c>
      <c r="H4" s="1">
        <v>7340</v>
      </c>
      <c r="I4" s="1">
        <v>7071</v>
      </c>
      <c r="J4" s="1">
        <v>7963</v>
      </c>
      <c r="R4" s="1">
        <f>SUM(C4:F4)</f>
        <v>28845</v>
      </c>
      <c r="S4" s="1">
        <f>SUM(G4:J4)</f>
        <v>29243</v>
      </c>
    </row>
    <row r="5" spans="1:29" x14ac:dyDescent="0.3">
      <c r="B5" t="s">
        <v>91</v>
      </c>
      <c r="C5" s="1">
        <v>6800</v>
      </c>
      <c r="D5" s="1">
        <v>7597</v>
      </c>
      <c r="E5" s="1">
        <v>7999</v>
      </c>
      <c r="F5" s="1">
        <v>9305</v>
      </c>
      <c r="G5" s="1">
        <v>8174</v>
      </c>
      <c r="H5" s="1">
        <v>8259</v>
      </c>
      <c r="I5" s="1">
        <v>7872</v>
      </c>
      <c r="J5" s="1">
        <v>8475</v>
      </c>
      <c r="R5" s="1">
        <f>SUM(C5:F5)</f>
        <v>31701</v>
      </c>
      <c r="S5" s="1">
        <f>SUM(G5:J5)</f>
        <v>32780</v>
      </c>
    </row>
    <row r="6" spans="1:29" s="4" customFormat="1" x14ac:dyDescent="0.3">
      <c r="A6"/>
      <c r="B6" s="3" t="s">
        <v>96</v>
      </c>
      <c r="C6" s="4">
        <f>SUM(C3:C5)</f>
        <v>44684</v>
      </c>
      <c r="D6" s="4">
        <f>SUM(D3:D5)</f>
        <v>50444</v>
      </c>
      <c r="E6" s="4">
        <f>SUM(E3:E5)</f>
        <v>53130</v>
      </c>
      <c r="F6" s="4">
        <f>SUM(F3:F5)</f>
        <v>61239</v>
      </c>
      <c r="G6" s="4">
        <f>SUM(G3:G5)</f>
        <v>54661</v>
      </c>
      <c r="H6" s="4">
        <f>SUM(H3:H5)</f>
        <v>56288</v>
      </c>
      <c r="I6" s="4">
        <f>SUM(I3:I5)</f>
        <v>54482</v>
      </c>
      <c r="J6" s="4">
        <f>SUM(J3:J5)</f>
        <v>59042</v>
      </c>
      <c r="R6" s="4">
        <f>SUM(R3:R5)</f>
        <v>209497</v>
      </c>
      <c r="S6" s="4">
        <f>SUM(S3:S5)</f>
        <v>224473</v>
      </c>
    </row>
    <row r="7" spans="1:29" x14ac:dyDescent="0.3">
      <c r="B7" t="s">
        <v>92</v>
      </c>
      <c r="C7" s="1">
        <v>6494</v>
      </c>
      <c r="D7" s="1">
        <v>6623</v>
      </c>
      <c r="E7" s="1">
        <v>6754</v>
      </c>
      <c r="F7" s="1">
        <v>8161</v>
      </c>
      <c r="G7" s="1">
        <v>6811</v>
      </c>
      <c r="H7" s="1">
        <v>6553</v>
      </c>
      <c r="I7" s="1">
        <v>6895</v>
      </c>
      <c r="J7" s="1">
        <v>8796</v>
      </c>
      <c r="R7" s="1">
        <f>SUM(C7:F7)</f>
        <v>28032</v>
      </c>
      <c r="S7" s="1">
        <f>SUM(G7:J7)</f>
        <v>29055</v>
      </c>
    </row>
    <row r="8" spans="1:29" s="4" customFormat="1" x14ac:dyDescent="0.3">
      <c r="A8" s="3"/>
      <c r="B8" s="3" t="s">
        <v>97</v>
      </c>
      <c r="C8" s="4">
        <f>SUM(C6:C7)</f>
        <v>51178</v>
      </c>
      <c r="D8" s="4">
        <f>SUM(D6:D7)</f>
        <v>57067</v>
      </c>
      <c r="E8" s="4">
        <f>SUM(E6:E7)</f>
        <v>59884</v>
      </c>
      <c r="F8" s="4">
        <f>SUM(F6:F7)</f>
        <v>69400</v>
      </c>
      <c r="G8" s="4">
        <f>SUM(G6:G7)</f>
        <v>61472</v>
      </c>
      <c r="H8" s="4">
        <f>SUM(H6:H7)</f>
        <v>62841</v>
      </c>
      <c r="I8" s="4">
        <f>SUM(I6:I7)</f>
        <v>61377</v>
      </c>
      <c r="J8" s="4">
        <f>SUM(J6:J7)</f>
        <v>67838</v>
      </c>
      <c r="R8" s="4">
        <f>SUM(R6:R7)</f>
        <v>237529</v>
      </c>
      <c r="S8" s="4">
        <f>SUM(S6:S7)</f>
        <v>253528</v>
      </c>
    </row>
    <row r="9" spans="1:29" x14ac:dyDescent="0.3">
      <c r="B9" t="s">
        <v>93</v>
      </c>
      <c r="C9" s="1">
        <v>4047</v>
      </c>
      <c r="D9" s="1">
        <v>4628</v>
      </c>
      <c r="E9" s="1">
        <v>4990</v>
      </c>
      <c r="F9" s="1">
        <v>5541</v>
      </c>
      <c r="G9" s="1">
        <v>5821</v>
      </c>
      <c r="H9" s="1">
        <v>6276</v>
      </c>
      <c r="I9" s="1">
        <v>6868</v>
      </c>
      <c r="J9" s="1">
        <v>7315</v>
      </c>
      <c r="R9" s="1">
        <f>SUM(C9:F9)</f>
        <v>19206</v>
      </c>
      <c r="S9" s="1">
        <f>SUM(G9:J9)</f>
        <v>26280</v>
      </c>
    </row>
    <row r="10" spans="1:29" s="7" customFormat="1" x14ac:dyDescent="0.3">
      <c r="A10" s="6"/>
      <c r="B10" s="6" t="s">
        <v>94</v>
      </c>
      <c r="C10" s="7">
        <v>198</v>
      </c>
      <c r="D10" s="7">
        <v>192</v>
      </c>
      <c r="E10" s="7">
        <v>182</v>
      </c>
      <c r="F10" s="7">
        <v>181</v>
      </c>
      <c r="G10" s="7">
        <v>440</v>
      </c>
      <c r="H10" s="7">
        <v>193</v>
      </c>
      <c r="I10" s="7">
        <v>209</v>
      </c>
      <c r="J10" s="7">
        <v>226</v>
      </c>
      <c r="R10" s="1">
        <f>SUM(C10:F10)</f>
        <v>753</v>
      </c>
      <c r="S10" s="1">
        <f>SUM(G10:J10)</f>
        <v>1068</v>
      </c>
    </row>
    <row r="11" spans="1:29" x14ac:dyDescent="0.3">
      <c r="B11" t="s">
        <v>95</v>
      </c>
      <c r="C11" s="1">
        <v>-109</v>
      </c>
      <c r="D11" s="1">
        <v>-7</v>
      </c>
      <c r="E11" s="1">
        <v>62</v>
      </c>
      <c r="F11" s="1">
        <v>203</v>
      </c>
      <c r="G11" s="1">
        <v>278</v>
      </c>
      <c r="H11" s="1">
        <v>375</v>
      </c>
      <c r="I11" s="1">
        <v>638</v>
      </c>
      <c r="J11" s="1">
        <v>669</v>
      </c>
      <c r="R11" s="1">
        <f>SUM(C11:F11)</f>
        <v>149</v>
      </c>
      <c r="S11" s="1">
        <f>SUM(G11:J11)</f>
        <v>1960</v>
      </c>
    </row>
    <row r="12" spans="1:29" customFormat="1" x14ac:dyDescent="0.3">
      <c r="C12" s="1"/>
      <c r="D12" s="1"/>
      <c r="E12" s="1"/>
      <c r="F12" s="1"/>
      <c r="G12" s="1"/>
      <c r="H12" s="1"/>
      <c r="I12" s="1"/>
      <c r="J12" s="1"/>
      <c r="R12" s="1"/>
      <c r="S12" s="1"/>
    </row>
    <row r="13" spans="1:29" x14ac:dyDescent="0.3">
      <c r="B13" t="s">
        <v>7</v>
      </c>
      <c r="C13" s="1">
        <f>SUM(C8:C11)</f>
        <v>55314</v>
      </c>
      <c r="D13" s="1">
        <f>SUM(D8:D11)</f>
        <v>61880</v>
      </c>
      <c r="E13" s="1">
        <f>SUM(E8:E11)</f>
        <v>65118</v>
      </c>
      <c r="F13" s="1">
        <f>SUM(F8:F11)</f>
        <v>75325</v>
      </c>
      <c r="G13" s="1">
        <f>SUM(G8:G11)</f>
        <v>68011</v>
      </c>
      <c r="H13" s="1">
        <f>SUM(H8:H11)</f>
        <v>69685</v>
      </c>
      <c r="I13" s="1">
        <f>SUM(I8:I11)</f>
        <v>69092</v>
      </c>
      <c r="J13" s="1">
        <f>SUM(J8:J11)</f>
        <v>76048</v>
      </c>
      <c r="R13" s="1">
        <f>SUM(R8:R11)</f>
        <v>257637</v>
      </c>
      <c r="S13" s="1">
        <f>SUM(S8:S11)</f>
        <v>282836</v>
      </c>
    </row>
    <row r="14" spans="1:29" x14ac:dyDescent="0.3">
      <c r="B14" t="s">
        <v>8</v>
      </c>
      <c r="C14" s="1">
        <v>24103</v>
      </c>
      <c r="D14" s="1">
        <v>26227</v>
      </c>
      <c r="E14" s="1">
        <v>27621</v>
      </c>
      <c r="F14" s="1">
        <v>32988</v>
      </c>
      <c r="G14" s="1">
        <v>29599</v>
      </c>
      <c r="H14" s="1">
        <v>30104</v>
      </c>
      <c r="I14" s="1">
        <v>31158</v>
      </c>
      <c r="J14" s="1">
        <v>35342</v>
      </c>
      <c r="R14" s="1">
        <f>SUM(C14:F14)</f>
        <v>110939</v>
      </c>
      <c r="S14" s="1">
        <f>SUM(G14:J14)</f>
        <v>126203</v>
      </c>
    </row>
    <row r="15" spans="1:29" x14ac:dyDescent="0.3">
      <c r="B15" t="s">
        <v>9</v>
      </c>
      <c r="C15" s="1">
        <f t="shared" ref="C15:J15" si="1">C13-C14</f>
        <v>31211</v>
      </c>
      <c r="D15" s="1">
        <f t="shared" si="1"/>
        <v>35653</v>
      </c>
      <c r="E15" s="1">
        <f t="shared" si="1"/>
        <v>37497</v>
      </c>
      <c r="F15" s="1">
        <f t="shared" si="1"/>
        <v>42337</v>
      </c>
      <c r="G15" s="1">
        <f t="shared" si="1"/>
        <v>38412</v>
      </c>
      <c r="H15" s="1">
        <f t="shared" si="1"/>
        <v>39581</v>
      </c>
      <c r="I15" s="1">
        <f t="shared" si="1"/>
        <v>37934</v>
      </c>
      <c r="J15" s="1">
        <f t="shared" si="1"/>
        <v>40706</v>
      </c>
      <c r="R15" s="1">
        <f>R13-R14</f>
        <v>146698</v>
      </c>
      <c r="S15" s="1">
        <f>S13-S14</f>
        <v>156633</v>
      </c>
    </row>
    <row r="16" spans="1:29" x14ac:dyDescent="0.3">
      <c r="B16" t="s">
        <v>10</v>
      </c>
      <c r="C16" s="1">
        <v>7485</v>
      </c>
      <c r="D16" s="1">
        <v>7675</v>
      </c>
      <c r="E16" s="1">
        <v>7694</v>
      </c>
      <c r="F16" s="1">
        <v>8708</v>
      </c>
      <c r="G16" s="1">
        <v>9119</v>
      </c>
      <c r="H16" s="1">
        <v>9841</v>
      </c>
      <c r="I16" s="1">
        <v>10273</v>
      </c>
      <c r="J16" s="1">
        <v>10267</v>
      </c>
      <c r="R16" s="1">
        <f>SUM(C16:F16)</f>
        <v>31562</v>
      </c>
      <c r="S16" s="1">
        <f>SUM(G16:J16)</f>
        <v>39500</v>
      </c>
    </row>
    <row r="17" spans="1:19" x14ac:dyDescent="0.3">
      <c r="B17" t="s">
        <v>11</v>
      </c>
      <c r="C17" s="1">
        <v>4516</v>
      </c>
      <c r="D17" s="1">
        <v>5276</v>
      </c>
      <c r="E17" s="1">
        <v>5516</v>
      </c>
      <c r="F17" s="1">
        <v>7604</v>
      </c>
      <c r="G17" s="1">
        <v>5825</v>
      </c>
      <c r="H17" s="1">
        <v>6630</v>
      </c>
      <c r="I17" s="1">
        <v>6929</v>
      </c>
      <c r="J17" s="1">
        <v>7183</v>
      </c>
      <c r="R17" s="1">
        <f>SUM(C17:F17)</f>
        <v>22912</v>
      </c>
      <c r="S17" s="1">
        <f>SUM(G17:J17)</f>
        <v>26567</v>
      </c>
    </row>
    <row r="18" spans="1:19" x14ac:dyDescent="0.3">
      <c r="B18" t="s">
        <v>12</v>
      </c>
      <c r="C18" s="1">
        <v>2773</v>
      </c>
      <c r="D18" s="1">
        <v>3341</v>
      </c>
      <c r="E18" s="1">
        <v>3256</v>
      </c>
      <c r="F18" s="1">
        <v>4140</v>
      </c>
      <c r="G18" s="1">
        <v>3374</v>
      </c>
      <c r="H18" s="1">
        <v>3657</v>
      </c>
      <c r="I18" s="1">
        <v>3597</v>
      </c>
      <c r="J18" s="1">
        <v>5096</v>
      </c>
      <c r="R18" s="1">
        <f>SUM(C18:F18)</f>
        <v>13510</v>
      </c>
      <c r="S18" s="1">
        <f>SUM(G18:J18)</f>
        <v>15724</v>
      </c>
    </row>
    <row r="19" spans="1:19" x14ac:dyDescent="0.3">
      <c r="B19" t="s">
        <v>13</v>
      </c>
      <c r="C19" s="1">
        <f t="shared" ref="C19:J19" si="2">SUM(C16:C18)</f>
        <v>14774</v>
      </c>
      <c r="D19" s="1">
        <f t="shared" si="2"/>
        <v>16292</v>
      </c>
      <c r="E19" s="1">
        <f t="shared" si="2"/>
        <v>16466</v>
      </c>
      <c r="F19" s="1">
        <f t="shared" si="2"/>
        <v>20452</v>
      </c>
      <c r="G19" s="1">
        <f t="shared" si="2"/>
        <v>18318</v>
      </c>
      <c r="H19" s="1">
        <f t="shared" si="2"/>
        <v>20128</v>
      </c>
      <c r="I19" s="1">
        <f t="shared" si="2"/>
        <v>20799</v>
      </c>
      <c r="J19" s="1">
        <f t="shared" si="2"/>
        <v>22546</v>
      </c>
      <c r="R19" s="1">
        <f>SUM(R16:R18)</f>
        <v>67984</v>
      </c>
      <c r="S19" s="1">
        <f>SUM(S16:S18)</f>
        <v>81791</v>
      </c>
    </row>
    <row r="20" spans="1:19" x14ac:dyDescent="0.3">
      <c r="B20" t="s">
        <v>14</v>
      </c>
      <c r="C20" s="1">
        <f t="shared" ref="C20:J20" si="3">C15-C19</f>
        <v>16437</v>
      </c>
      <c r="D20" s="1">
        <f t="shared" si="3"/>
        <v>19361</v>
      </c>
      <c r="E20" s="1">
        <f t="shared" si="3"/>
        <v>21031</v>
      </c>
      <c r="F20" s="1">
        <f t="shared" si="3"/>
        <v>21885</v>
      </c>
      <c r="G20" s="1">
        <f t="shared" si="3"/>
        <v>20094</v>
      </c>
      <c r="H20" s="1">
        <f t="shared" si="3"/>
        <v>19453</v>
      </c>
      <c r="I20" s="1">
        <f t="shared" si="3"/>
        <v>17135</v>
      </c>
      <c r="J20" s="1">
        <f t="shared" si="3"/>
        <v>18160</v>
      </c>
      <c r="R20" s="1">
        <f>R15-R19</f>
        <v>78714</v>
      </c>
      <c r="S20" s="1">
        <f>S15-S19</f>
        <v>74842</v>
      </c>
    </row>
    <row r="21" spans="1:19" x14ac:dyDescent="0.3">
      <c r="B21" t="s">
        <v>15</v>
      </c>
      <c r="C21" s="1">
        <v>4846</v>
      </c>
      <c r="D21" s="1">
        <v>2624</v>
      </c>
      <c r="E21" s="1">
        <v>2033</v>
      </c>
      <c r="F21" s="1">
        <v>2517</v>
      </c>
      <c r="G21" s="1">
        <v>-1160</v>
      </c>
      <c r="H21" s="1">
        <v>-439</v>
      </c>
      <c r="I21" s="1">
        <v>-902</v>
      </c>
      <c r="J21" s="1">
        <v>-1013</v>
      </c>
      <c r="R21" s="1">
        <f>SUM(C21:F21)</f>
        <v>12020</v>
      </c>
      <c r="S21" s="1">
        <f>SUM(G21:J21)</f>
        <v>-3514</v>
      </c>
    </row>
    <row r="22" spans="1:19" x14ac:dyDescent="0.3">
      <c r="B22" t="s">
        <v>16</v>
      </c>
      <c r="C22" s="1">
        <f t="shared" ref="C22:J22" si="4">C20+C21</f>
        <v>21283</v>
      </c>
      <c r="D22" s="1">
        <f t="shared" si="4"/>
        <v>21985</v>
      </c>
      <c r="E22" s="1">
        <f t="shared" si="4"/>
        <v>23064</v>
      </c>
      <c r="F22" s="1">
        <f t="shared" si="4"/>
        <v>24402</v>
      </c>
      <c r="G22" s="1">
        <f t="shared" si="4"/>
        <v>18934</v>
      </c>
      <c r="H22" s="1">
        <f t="shared" si="4"/>
        <v>19014</v>
      </c>
      <c r="I22" s="1">
        <f t="shared" si="4"/>
        <v>16233</v>
      </c>
      <c r="J22" s="1">
        <f t="shared" si="4"/>
        <v>17147</v>
      </c>
      <c r="R22" s="1">
        <f>R20+R21</f>
        <v>90734</v>
      </c>
      <c r="S22" s="1">
        <f>S20+S21</f>
        <v>71328</v>
      </c>
    </row>
    <row r="23" spans="1:19" x14ac:dyDescent="0.3">
      <c r="B23" t="s">
        <v>17</v>
      </c>
      <c r="C23" s="1">
        <v>3353</v>
      </c>
      <c r="D23" s="1">
        <v>3460</v>
      </c>
      <c r="E23" s="1">
        <v>4128</v>
      </c>
      <c r="F23" s="1">
        <v>3760</v>
      </c>
      <c r="G23" s="1">
        <v>2498</v>
      </c>
      <c r="H23" s="1">
        <v>3012</v>
      </c>
      <c r="I23" s="1">
        <v>2323</v>
      </c>
      <c r="J23" s="1">
        <v>3523</v>
      </c>
      <c r="R23" s="1">
        <f>SUM(C23:F23)</f>
        <v>14701</v>
      </c>
      <c r="S23" s="1">
        <f>SUM(G23:J23)</f>
        <v>11356</v>
      </c>
    </row>
    <row r="24" spans="1:19" s="4" customFormat="1" x14ac:dyDescent="0.3">
      <c r="A24" s="3"/>
      <c r="B24" s="3" t="s">
        <v>18</v>
      </c>
      <c r="C24" s="4">
        <f t="shared" ref="C24:J24" si="5">C22-C23</f>
        <v>17930</v>
      </c>
      <c r="D24" s="4">
        <f t="shared" si="5"/>
        <v>18525</v>
      </c>
      <c r="E24" s="4">
        <f t="shared" si="5"/>
        <v>18936</v>
      </c>
      <c r="F24" s="4">
        <f t="shared" si="5"/>
        <v>20642</v>
      </c>
      <c r="G24" s="4">
        <f t="shared" si="5"/>
        <v>16436</v>
      </c>
      <c r="H24" s="4">
        <f t="shared" si="5"/>
        <v>16002</v>
      </c>
      <c r="I24" s="4">
        <f t="shared" si="5"/>
        <v>13910</v>
      </c>
      <c r="J24" s="4">
        <f t="shared" si="5"/>
        <v>13624</v>
      </c>
      <c r="R24" s="4">
        <f>R22-R23</f>
        <v>76033</v>
      </c>
      <c r="S24" s="4">
        <f>S22-S23</f>
        <v>59972</v>
      </c>
    </row>
    <row r="25" spans="1:19" x14ac:dyDescent="0.3">
      <c r="B25" t="s">
        <v>19</v>
      </c>
      <c r="C25" s="2"/>
      <c r="D25" s="2">
        <f t="shared" ref="D25:J25" si="6">D24/D26</f>
        <v>1.3846326332311831</v>
      </c>
      <c r="E25" s="2">
        <f t="shared" si="6"/>
        <v>1.4221554637626737</v>
      </c>
      <c r="F25" s="2">
        <f t="shared" si="6"/>
        <v>1.5575341432128575</v>
      </c>
      <c r="G25" s="2">
        <f t="shared" si="6"/>
        <v>24.959761685726178</v>
      </c>
      <c r="H25" s="2">
        <f t="shared" si="6"/>
        <v>1.2184573212518084</v>
      </c>
      <c r="I25" s="2">
        <f t="shared" si="6"/>
        <v>1.0685205100629898</v>
      </c>
      <c r="J25" s="2">
        <f t="shared" si="6"/>
        <v>1.0563696983794681</v>
      </c>
      <c r="R25" s="2">
        <f>R24/R26</f>
        <v>5.7100408040653869</v>
      </c>
      <c r="S25" s="2">
        <f>S24/S26</f>
        <v>4.6075599262446216</v>
      </c>
    </row>
    <row r="26" spans="1:19" x14ac:dyDescent="0.3">
      <c r="B26" t="s">
        <v>1</v>
      </c>
      <c r="D26" s="1">
        <v>13379</v>
      </c>
      <c r="E26" s="1">
        <v>13315</v>
      </c>
      <c r="F26" s="1">
        <v>13253</v>
      </c>
      <c r="G26" s="1">
        <f>300.763622+44.359838+313.376417</f>
        <v>658.49987699999997</v>
      </c>
      <c r="H26" s="1">
        <v>13133</v>
      </c>
      <c r="I26" s="1">
        <v>13018</v>
      </c>
      <c r="J26" s="1">
        <v>12897</v>
      </c>
      <c r="R26" s="1">
        <f>AVERAGE(C26:F26)</f>
        <v>13315.666666666666</v>
      </c>
      <c r="S26" s="1">
        <f>AVERAGE(H26:J26)</f>
        <v>13016</v>
      </c>
    </row>
    <row r="28" spans="1:19" x14ac:dyDescent="0.3">
      <c r="B28" t="s">
        <v>86</v>
      </c>
      <c r="F28" s="5"/>
      <c r="G28" s="5">
        <f t="shared" ref="G28:I28" si="7">G13/C13-1</f>
        <v>0.22954405756228069</v>
      </c>
      <c r="H28" s="5">
        <f t="shared" si="7"/>
        <v>0.12613122171945701</v>
      </c>
      <c r="I28" s="5">
        <f t="shared" si="7"/>
        <v>6.1027672840074931E-2</v>
      </c>
      <c r="J28" s="5">
        <f>J13/F13-1</f>
        <v>9.5984069034185104E-3</v>
      </c>
      <c r="S28" s="5">
        <f>S13/R13-1</f>
        <v>9.7808156437157789E-2</v>
      </c>
    </row>
    <row r="29" spans="1:19" x14ac:dyDescent="0.3">
      <c r="B29" t="s">
        <v>87</v>
      </c>
      <c r="C29" s="5">
        <f t="shared" ref="C29:F29" si="8">C15/C13</f>
        <v>0.56425136493473627</v>
      </c>
      <c r="D29" s="5">
        <f t="shared" si="8"/>
        <v>0.57616354234001288</v>
      </c>
      <c r="E29" s="5">
        <f t="shared" si="8"/>
        <v>0.57583156730857832</v>
      </c>
      <c r="F29" s="5">
        <f t="shared" si="8"/>
        <v>0.56205774975107869</v>
      </c>
      <c r="G29" s="5">
        <f t="shared" ref="G29:I29" si="9">G15/G13</f>
        <v>0.5647909896928438</v>
      </c>
      <c r="H29" s="5">
        <f t="shared" si="9"/>
        <v>0.56799885197675248</v>
      </c>
      <c r="I29" s="5">
        <f t="shared" si="9"/>
        <v>0.54903606785156023</v>
      </c>
      <c r="J29" s="5">
        <f>J15/J13</f>
        <v>0.53526719966337055</v>
      </c>
      <c r="R29" s="5">
        <f>R15/R13</f>
        <v>0.5693980290098084</v>
      </c>
      <c r="S29" s="5">
        <f>S15/S13</f>
        <v>0.55379442503783116</v>
      </c>
    </row>
    <row r="30" spans="1:19" x14ac:dyDescent="0.3">
      <c r="B30" t="s">
        <v>88</v>
      </c>
      <c r="C30" s="5">
        <f t="shared" ref="C30:I30" si="10">C23/C22</f>
        <v>0.15754357938260583</v>
      </c>
      <c r="D30" s="5">
        <f t="shared" si="10"/>
        <v>0.15738003183989083</v>
      </c>
      <c r="E30" s="5">
        <f t="shared" si="10"/>
        <v>0.17898022892819979</v>
      </c>
      <c r="F30" s="5">
        <f t="shared" si="10"/>
        <v>0.15408573067781328</v>
      </c>
      <c r="G30" s="5">
        <f t="shared" si="10"/>
        <v>0.13193197422625963</v>
      </c>
      <c r="H30" s="5">
        <f t="shared" si="10"/>
        <v>0.15840959293152415</v>
      </c>
      <c r="I30" s="5">
        <f t="shared" si="10"/>
        <v>0.14310355448777182</v>
      </c>
      <c r="J30" s="5">
        <f>J23/J22</f>
        <v>0.20545868081880211</v>
      </c>
      <c r="R30" s="5">
        <f>R23/R22</f>
        <v>0.16202305640663919</v>
      </c>
      <c r="S30" s="5">
        <f>S23/S22</f>
        <v>0.1592081650964558</v>
      </c>
    </row>
    <row r="31" spans="1:19" x14ac:dyDescent="0.3">
      <c r="B31" t="s">
        <v>105</v>
      </c>
      <c r="C31" s="5">
        <f>C16/C13</f>
        <v>0.13531836424774921</v>
      </c>
      <c r="D31" s="5">
        <f t="shared" ref="D31:J31" si="11">D16/D13</f>
        <v>0.12403038138332256</v>
      </c>
      <c r="E31" s="5">
        <f t="shared" si="11"/>
        <v>0.11815473448201726</v>
      </c>
      <c r="F31" s="5">
        <f t="shared" si="11"/>
        <v>0.11560570859608364</v>
      </c>
      <c r="G31" s="5">
        <f t="shared" si="11"/>
        <v>0.13408125156224729</v>
      </c>
      <c r="H31" s="5">
        <f t="shared" si="11"/>
        <v>0.14122120972949703</v>
      </c>
      <c r="I31" s="5">
        <f t="shared" si="11"/>
        <v>0.14868581022404909</v>
      </c>
      <c r="J31" s="5">
        <f t="shared" si="11"/>
        <v>0.13500683778666106</v>
      </c>
      <c r="R31" s="5"/>
      <c r="S31" s="5"/>
    </row>
    <row r="32" spans="1:19" x14ac:dyDescent="0.3">
      <c r="B32" t="s">
        <v>106</v>
      </c>
      <c r="C32" s="5">
        <f>C17/C13</f>
        <v>8.1642983693097582E-2</v>
      </c>
      <c r="D32" s="5">
        <f t="shared" ref="D32:J32" si="12">D17/D13</f>
        <v>8.5261797026502911E-2</v>
      </c>
      <c r="E32" s="5">
        <f t="shared" si="12"/>
        <v>8.4707761294880057E-2</v>
      </c>
      <c r="F32" s="5">
        <f t="shared" si="12"/>
        <v>0.10094922004646532</v>
      </c>
      <c r="G32" s="5">
        <f t="shared" si="12"/>
        <v>8.5647909896928442E-2</v>
      </c>
      <c r="H32" s="5">
        <f t="shared" si="12"/>
        <v>9.514242663413934E-2</v>
      </c>
      <c r="I32" s="5">
        <f t="shared" si="12"/>
        <v>0.10028657442250911</v>
      </c>
      <c r="J32" s="5">
        <f t="shared" si="12"/>
        <v>9.4453503050704823E-2</v>
      </c>
      <c r="R32" s="5"/>
      <c r="S32" s="5"/>
    </row>
    <row r="33" spans="1:19" x14ac:dyDescent="0.3">
      <c r="B33" t="s">
        <v>107</v>
      </c>
      <c r="C33" s="5">
        <f>C18/C13</f>
        <v>5.0131973822178835E-2</v>
      </c>
      <c r="D33" s="5">
        <f t="shared" ref="D33:J33" si="13">D18/D13</f>
        <v>5.3991596638655465E-2</v>
      </c>
      <c r="E33" s="5">
        <f t="shared" si="13"/>
        <v>5.0001535673700054E-2</v>
      </c>
      <c r="F33" s="5">
        <f t="shared" si="13"/>
        <v>5.4961832061068701E-2</v>
      </c>
      <c r="G33" s="5">
        <f t="shared" si="13"/>
        <v>4.9609621972916143E-2</v>
      </c>
      <c r="H33" s="5">
        <f t="shared" si="13"/>
        <v>5.2479012700007176E-2</v>
      </c>
      <c r="I33" s="5">
        <f t="shared" si="13"/>
        <v>5.2061020089156487E-2</v>
      </c>
      <c r="J33" s="5">
        <f t="shared" si="13"/>
        <v>6.7010309278350513E-2</v>
      </c>
      <c r="R33" s="5"/>
      <c r="S33" s="5"/>
    </row>
    <row r="34" spans="1:19" x14ac:dyDescent="0.3">
      <c r="C34" s="5"/>
      <c r="D34" s="5"/>
      <c r="E34" s="5"/>
      <c r="F34" s="5"/>
      <c r="G34" s="5"/>
      <c r="H34" s="5"/>
      <c r="I34" s="5"/>
      <c r="J34" s="5"/>
      <c r="R34" s="5"/>
      <c r="S34" s="5"/>
    </row>
    <row r="35" spans="1:19" x14ac:dyDescent="0.3">
      <c r="B35" t="s">
        <v>98</v>
      </c>
      <c r="C35" s="5"/>
      <c r="D35" s="5"/>
      <c r="E35" s="5"/>
      <c r="F35" s="5"/>
      <c r="G35" s="5">
        <f t="shared" ref="G35:I40" si="14">G3/C3-1</f>
        <v>0.24276169265033398</v>
      </c>
      <c r="H35" s="5">
        <f t="shared" si="14"/>
        <v>0.13513739712651684</v>
      </c>
      <c r="I35" s="5">
        <f t="shared" si="14"/>
        <v>4.2530190370722032E-2</v>
      </c>
      <c r="J35" s="5">
        <f>J3/F3-1</f>
        <v>-1.6096625943973542E-2</v>
      </c>
      <c r="K35" s="5"/>
      <c r="L35" s="5"/>
      <c r="M35" s="5"/>
      <c r="N35" s="5"/>
      <c r="S35" s="5">
        <f>S3/R3-1</f>
        <v>9.0627118985438182E-2</v>
      </c>
    </row>
    <row r="36" spans="1:19" x14ac:dyDescent="0.3">
      <c r="B36" t="s">
        <v>99</v>
      </c>
      <c r="C36" s="5"/>
      <c r="D36" s="5"/>
      <c r="E36" s="5"/>
      <c r="F36" s="5"/>
      <c r="G36" s="5">
        <f t="shared" si="14"/>
        <v>0.143880099916736</v>
      </c>
      <c r="H36" s="5">
        <f t="shared" si="14"/>
        <v>4.8271922307911996E-2</v>
      </c>
      <c r="I36" s="5">
        <f t="shared" si="14"/>
        <v>-1.8598195697432374E-2</v>
      </c>
      <c r="J36" s="5">
        <f>J4/F4-1</f>
        <v>-7.7609174099386058E-2</v>
      </c>
      <c r="K36" s="5"/>
      <c r="L36" s="5"/>
      <c r="M36" s="5"/>
      <c r="N36" s="5"/>
      <c r="S36" s="5">
        <f>S4/R4-1</f>
        <v>1.3797885248743258E-2</v>
      </c>
    </row>
    <row r="37" spans="1:19" x14ac:dyDescent="0.3">
      <c r="B37" t="s">
        <v>100</v>
      </c>
      <c r="C37" s="5"/>
      <c r="D37" s="5"/>
      <c r="E37" s="5"/>
      <c r="F37" s="5"/>
      <c r="G37" s="5">
        <f t="shared" si="14"/>
        <v>0.20205882352941185</v>
      </c>
      <c r="H37" s="5">
        <f t="shared" si="14"/>
        <v>8.7139660392260065E-2</v>
      </c>
      <c r="I37" s="5">
        <f t="shared" si="14"/>
        <v>-1.587698462307785E-2</v>
      </c>
      <c r="J37" s="5">
        <f>J5/F5-1</f>
        <v>-8.9199355185384244E-2</v>
      </c>
      <c r="S37" s="5">
        <f>S5/R5-1</f>
        <v>3.4036781174095365E-2</v>
      </c>
    </row>
    <row r="38" spans="1:19" x14ac:dyDescent="0.3">
      <c r="B38" t="s">
        <v>101</v>
      </c>
      <c r="C38" s="5"/>
      <c r="D38" s="5"/>
      <c r="E38" s="5"/>
      <c r="F38" s="5"/>
      <c r="G38" s="5">
        <f t="shared" si="14"/>
        <v>0.22327902604959271</v>
      </c>
      <c r="H38" s="5">
        <f t="shared" si="14"/>
        <v>0.11585124098009669</v>
      </c>
      <c r="I38" s="5">
        <f t="shared" si="14"/>
        <v>2.5447016751364515E-2</v>
      </c>
      <c r="J38" s="5">
        <f>J6/F6-1</f>
        <v>-3.5875830761442851E-2</v>
      </c>
      <c r="S38" s="5">
        <f>S6/R6-1</f>
        <v>7.14855105323704E-2</v>
      </c>
    </row>
    <row r="39" spans="1:19" x14ac:dyDescent="0.3">
      <c r="B39" t="s">
        <v>102</v>
      </c>
      <c r="C39" s="5"/>
      <c r="D39" s="5"/>
      <c r="E39" s="5"/>
      <c r="F39" s="5"/>
      <c r="G39" s="5">
        <f t="shared" si="14"/>
        <v>4.8814290113951442E-2</v>
      </c>
      <c r="H39" s="5">
        <f t="shared" si="14"/>
        <v>-1.0569228446323464E-2</v>
      </c>
      <c r="I39" s="5">
        <f t="shared" si="14"/>
        <v>2.0876517619188739E-2</v>
      </c>
      <c r="J39" s="5">
        <f>J7/F7-1</f>
        <v>7.7809092023036319E-2</v>
      </c>
      <c r="S39" s="5">
        <f>S7/R7-1</f>
        <v>3.6494006849315141E-2</v>
      </c>
    </row>
    <row r="40" spans="1:19" x14ac:dyDescent="0.3">
      <c r="B40" t="s">
        <v>103</v>
      </c>
      <c r="C40" s="5"/>
      <c r="D40" s="5"/>
      <c r="E40" s="5"/>
      <c r="F40" s="5"/>
      <c r="G40" s="5">
        <f t="shared" si="14"/>
        <v>0.20114111532299028</v>
      </c>
      <c r="H40" s="5">
        <f t="shared" si="14"/>
        <v>0.10117931554138115</v>
      </c>
      <c r="I40" s="5">
        <f t="shared" si="14"/>
        <v>2.4931534299645897E-2</v>
      </c>
      <c r="J40" s="5">
        <f>J8/F8-1</f>
        <v>-2.2507204610951015E-2</v>
      </c>
      <c r="S40" s="5">
        <f>S8/R8-1</f>
        <v>6.7355986005919188E-2</v>
      </c>
    </row>
    <row r="41" spans="1:19" x14ac:dyDescent="0.3">
      <c r="B41" t="s">
        <v>104</v>
      </c>
      <c r="C41" s="5"/>
      <c r="D41" s="5"/>
      <c r="E41" s="5"/>
      <c r="F41" s="5"/>
      <c r="G41" s="5">
        <f t="shared" ref="G41:I41" si="15">G9/C9-1</f>
        <v>0.4383493946132937</v>
      </c>
      <c r="H41" s="5">
        <f t="shared" si="15"/>
        <v>0.35609334485738975</v>
      </c>
      <c r="I41" s="5">
        <f t="shared" si="15"/>
        <v>0.37635270541082155</v>
      </c>
      <c r="J41" s="5">
        <f>J9/F9-1</f>
        <v>0.3201588160981772</v>
      </c>
      <c r="S41" s="5">
        <f>S9/R9-1</f>
        <v>0.36832239925023424</v>
      </c>
    </row>
    <row r="43" spans="1:19" s="4" customFormat="1" x14ac:dyDescent="0.3">
      <c r="A43" s="3"/>
      <c r="B43" s="3" t="s">
        <v>31</v>
      </c>
      <c r="G43" s="4">
        <f>G44-G61</f>
        <v>149723</v>
      </c>
      <c r="H43" s="4">
        <f>H44-H61</f>
        <v>140928</v>
      </c>
      <c r="I43" s="4">
        <f>I44-I61</f>
        <v>132025</v>
      </c>
      <c r="J43" s="4">
        <f>J44-J61</f>
        <v>129553</v>
      </c>
    </row>
    <row r="44" spans="1:19" x14ac:dyDescent="0.3">
      <c r="B44" t="s">
        <v>32</v>
      </c>
      <c r="G44" s="1">
        <f>133970+30544</f>
        <v>164514</v>
      </c>
      <c r="H44" s="1">
        <f>124997+30665</f>
        <v>155662</v>
      </c>
      <c r="I44" s="1">
        <f>116259+30419</f>
        <v>146678</v>
      </c>
      <c r="J44" s="1">
        <f>113762+30492</f>
        <v>144254</v>
      </c>
    </row>
    <row r="45" spans="1:19" x14ac:dyDescent="0.3">
      <c r="B45" t="s">
        <v>33</v>
      </c>
      <c r="G45" s="1">
        <v>34703</v>
      </c>
      <c r="H45" s="1">
        <v>35707</v>
      </c>
      <c r="I45" s="1">
        <v>34697</v>
      </c>
      <c r="J45" s="1">
        <v>40258</v>
      </c>
    </row>
    <row r="46" spans="1:19" x14ac:dyDescent="0.3">
      <c r="B46" t="s">
        <v>34</v>
      </c>
      <c r="G46" s="1">
        <v>1369</v>
      </c>
      <c r="H46" s="1">
        <v>1980</v>
      </c>
      <c r="I46" s="1">
        <v>3156</v>
      </c>
      <c r="J46" s="1">
        <v>2670</v>
      </c>
    </row>
    <row r="47" spans="1:19" x14ac:dyDescent="0.3">
      <c r="B47" t="s">
        <v>35</v>
      </c>
      <c r="G47" s="1">
        <v>6892</v>
      </c>
      <c r="H47" s="1">
        <v>8321</v>
      </c>
      <c r="I47" s="1">
        <v>10518</v>
      </c>
      <c r="J47" s="1">
        <v>8105</v>
      </c>
    </row>
    <row r="48" spans="1:19" x14ac:dyDescent="0.3">
      <c r="B48" t="s">
        <v>36</v>
      </c>
      <c r="G48" s="1">
        <f>919+1388</f>
        <v>2307</v>
      </c>
      <c r="H48" s="1">
        <f>1366+1490</f>
        <v>2856</v>
      </c>
      <c r="I48" s="1">
        <f>1479+2991</f>
        <v>4470</v>
      </c>
      <c r="J48" s="1">
        <v>5261</v>
      </c>
    </row>
    <row r="49" spans="2:10" x14ac:dyDescent="0.3">
      <c r="B49" t="s">
        <v>37</v>
      </c>
      <c r="G49" s="1">
        <v>104218</v>
      </c>
      <c r="H49" s="1">
        <v>106223</v>
      </c>
      <c r="I49" s="1">
        <v>108363</v>
      </c>
      <c r="J49" s="1">
        <v>112668</v>
      </c>
    </row>
    <row r="50" spans="2:10" x14ac:dyDescent="0.3">
      <c r="B50" t="s">
        <v>38</v>
      </c>
      <c r="G50" s="1">
        <v>12992</v>
      </c>
      <c r="H50" s="1">
        <v>13398</v>
      </c>
      <c r="I50" s="1">
        <v>13677</v>
      </c>
      <c r="J50" s="1">
        <v>14381</v>
      </c>
    </row>
    <row r="51" spans="2:10" x14ac:dyDescent="0.3">
      <c r="B51" t="s">
        <v>39</v>
      </c>
      <c r="G51" s="1">
        <v>1313</v>
      </c>
      <c r="H51" s="1">
        <v>1377</v>
      </c>
      <c r="I51" s="1">
        <v>2192</v>
      </c>
      <c r="J51" s="1">
        <v>2084</v>
      </c>
    </row>
    <row r="52" spans="2:10" x14ac:dyDescent="0.3">
      <c r="B52" t="s">
        <v>40</v>
      </c>
      <c r="G52" s="1">
        <v>23010</v>
      </c>
      <c r="H52" s="1">
        <v>23949</v>
      </c>
      <c r="I52" s="1">
        <v>28834</v>
      </c>
      <c r="J52" s="1">
        <v>28960</v>
      </c>
    </row>
    <row r="53" spans="2:10" x14ac:dyDescent="0.3">
      <c r="B53" t="s">
        <v>41</v>
      </c>
      <c r="G53" s="1">
        <v>5778</v>
      </c>
      <c r="H53" s="1">
        <v>5712</v>
      </c>
      <c r="I53" s="1">
        <v>5670</v>
      </c>
      <c r="J53" s="1">
        <v>6623</v>
      </c>
    </row>
    <row r="54" spans="2:10" x14ac:dyDescent="0.3">
      <c r="B54" t="s">
        <v>42</v>
      </c>
      <c r="G54" s="1">
        <f>SUM(G44:G53)</f>
        <v>357096</v>
      </c>
      <c r="H54" s="1">
        <f>SUM(H44:H53)</f>
        <v>355185</v>
      </c>
      <c r="I54" s="1">
        <f>SUM(I44:I53)</f>
        <v>358255</v>
      </c>
      <c r="J54" s="1">
        <f>SUM(J44:J53)</f>
        <v>365264</v>
      </c>
    </row>
    <row r="56" spans="2:10" x14ac:dyDescent="0.3">
      <c r="B56" t="s">
        <v>43</v>
      </c>
      <c r="G56" s="1">
        <v>3436</v>
      </c>
      <c r="H56" s="1">
        <v>4409</v>
      </c>
      <c r="I56" s="1">
        <v>6303</v>
      </c>
      <c r="J56" s="1">
        <v>5128</v>
      </c>
    </row>
    <row r="57" spans="2:10" x14ac:dyDescent="0.3">
      <c r="B57" t="s">
        <v>44</v>
      </c>
      <c r="G57" s="1">
        <v>9803</v>
      </c>
      <c r="H57" s="1">
        <v>10852</v>
      </c>
      <c r="I57" s="1">
        <v>12366</v>
      </c>
      <c r="J57" s="1">
        <v>14028</v>
      </c>
    </row>
    <row r="58" spans="2:10" x14ac:dyDescent="0.3">
      <c r="B58" t="s">
        <v>45</v>
      </c>
      <c r="G58" s="1">
        <v>33051</v>
      </c>
      <c r="H58" s="1">
        <v>32976</v>
      </c>
      <c r="I58" s="1">
        <v>35038</v>
      </c>
      <c r="J58" s="1">
        <v>37866</v>
      </c>
    </row>
    <row r="59" spans="2:10" x14ac:dyDescent="0.3">
      <c r="B59" t="s">
        <v>46</v>
      </c>
      <c r="G59" s="1">
        <v>8116</v>
      </c>
      <c r="H59" s="1">
        <v>7889</v>
      </c>
      <c r="I59" s="1">
        <v>7662</v>
      </c>
      <c r="J59" s="1">
        <v>8370</v>
      </c>
    </row>
    <row r="60" spans="2:10" x14ac:dyDescent="0.3">
      <c r="B60" t="s">
        <v>47</v>
      </c>
      <c r="G60" s="1">
        <f>3198+499</f>
        <v>3697</v>
      </c>
      <c r="H60" s="1">
        <f>472+3272</f>
        <v>3744</v>
      </c>
      <c r="I60" s="1">
        <f>3585+594</f>
        <v>4179</v>
      </c>
      <c r="J60" s="1">
        <f>3908+599</f>
        <v>4507</v>
      </c>
    </row>
    <row r="61" spans="2:10" x14ac:dyDescent="0.3">
      <c r="B61" t="s">
        <v>4</v>
      </c>
      <c r="G61" s="1">
        <v>14791</v>
      </c>
      <c r="H61" s="1">
        <v>14734</v>
      </c>
      <c r="I61" s="1">
        <v>14653</v>
      </c>
      <c r="J61" s="1">
        <v>14701</v>
      </c>
    </row>
    <row r="62" spans="2:10" x14ac:dyDescent="0.3">
      <c r="B62" t="s">
        <v>52</v>
      </c>
      <c r="G62" s="1">
        <f>4344+9406</f>
        <v>13750</v>
      </c>
      <c r="H62" s="1">
        <f>8163+1956</f>
        <v>10119</v>
      </c>
      <c r="I62" s="1">
        <f>8572+1025</f>
        <v>9597</v>
      </c>
      <c r="J62" s="1">
        <v>9258</v>
      </c>
    </row>
    <row r="63" spans="2:10" x14ac:dyDescent="0.3">
      <c r="B63" t="s">
        <v>53</v>
      </c>
      <c r="G63" s="1">
        <v>2843</v>
      </c>
      <c r="H63" s="1">
        <v>924</v>
      </c>
      <c r="I63" s="1">
        <v>476</v>
      </c>
      <c r="J63" s="1">
        <v>514</v>
      </c>
    </row>
    <row r="64" spans="2:10" x14ac:dyDescent="0.3">
      <c r="B64" t="s">
        <v>38</v>
      </c>
      <c r="G64" s="1">
        <v>11363</v>
      </c>
      <c r="H64" s="1">
        <v>11697</v>
      </c>
      <c r="I64" s="1">
        <v>11984</v>
      </c>
      <c r="J64" s="1">
        <v>12501</v>
      </c>
    </row>
    <row r="65" spans="2:10" x14ac:dyDescent="0.3">
      <c r="B65" t="s">
        <v>48</v>
      </c>
      <c r="G65" s="1">
        <v>2242</v>
      </c>
      <c r="H65" s="1">
        <v>2422</v>
      </c>
      <c r="I65" s="1">
        <v>2371</v>
      </c>
      <c r="J65" s="1">
        <v>2247</v>
      </c>
    </row>
    <row r="66" spans="2:10" x14ac:dyDescent="0.3">
      <c r="B66" t="s">
        <v>49</v>
      </c>
      <c r="G66" s="1">
        <f>SUM(G56:G65)</f>
        <v>103092</v>
      </c>
      <c r="H66" s="1">
        <f>SUM(H56:H65)</f>
        <v>99766</v>
      </c>
      <c r="I66" s="1">
        <f>SUM(I56:I65)</f>
        <v>104629</v>
      </c>
      <c r="J66" s="1">
        <f>SUM(J56:J65)</f>
        <v>109120</v>
      </c>
    </row>
    <row r="67" spans="2:10" x14ac:dyDescent="0.3">
      <c r="B67" t="s">
        <v>50</v>
      </c>
      <c r="G67" s="1">
        <v>254004</v>
      </c>
      <c r="H67" s="1">
        <v>255419</v>
      </c>
      <c r="I67" s="1">
        <v>253626</v>
      </c>
      <c r="J67" s="1">
        <v>256144</v>
      </c>
    </row>
    <row r="68" spans="2:10" x14ac:dyDescent="0.3">
      <c r="B68" t="s">
        <v>51</v>
      </c>
      <c r="G68" s="1">
        <f>SUM(G66:G67)</f>
        <v>357096</v>
      </c>
      <c r="H68" s="1">
        <f>SUM(H66:H67)</f>
        <v>355185</v>
      </c>
      <c r="I68" s="1">
        <f>SUM(I66:I67)</f>
        <v>358255</v>
      </c>
      <c r="J68" s="1">
        <f>SUM(J66:J67)</f>
        <v>365264</v>
      </c>
    </row>
    <row r="71" spans="2:10" x14ac:dyDescent="0.3">
      <c r="B71" t="s">
        <v>54</v>
      </c>
      <c r="G71" s="1">
        <f>G24</f>
        <v>16436</v>
      </c>
      <c r="H71" s="1">
        <f>H24</f>
        <v>16002</v>
      </c>
      <c r="I71" s="1">
        <f>I24</f>
        <v>13910</v>
      </c>
      <c r="J71" s="1">
        <f>J24</f>
        <v>13624</v>
      </c>
    </row>
    <row r="72" spans="2:10" x14ac:dyDescent="0.3">
      <c r="B72" t="s">
        <v>55</v>
      </c>
      <c r="G72" s="1">
        <v>16436</v>
      </c>
      <c r="H72" s="1">
        <v>16002</v>
      </c>
      <c r="I72" s="1">
        <v>13910</v>
      </c>
      <c r="J72" s="1">
        <v>13624</v>
      </c>
    </row>
    <row r="73" spans="2:10" x14ac:dyDescent="0.3">
      <c r="B73" t="s">
        <v>56</v>
      </c>
      <c r="G73" s="1">
        <v>3591</v>
      </c>
      <c r="H73" s="1">
        <v>3698</v>
      </c>
      <c r="I73" s="1">
        <v>3933</v>
      </c>
      <c r="J73" s="1">
        <v>4065</v>
      </c>
    </row>
    <row r="74" spans="2:10" x14ac:dyDescent="0.3">
      <c r="B74" t="s">
        <v>57</v>
      </c>
      <c r="G74" s="1">
        <v>191</v>
      </c>
      <c r="H74" s="1">
        <v>201</v>
      </c>
      <c r="I74" s="1">
        <v>113</v>
      </c>
      <c r="J74" s="1">
        <v>136</v>
      </c>
    </row>
    <row r="75" spans="2:10" x14ac:dyDescent="0.3">
      <c r="B75" t="s">
        <v>58</v>
      </c>
      <c r="G75" s="1">
        <v>4504</v>
      </c>
      <c r="H75" s="1">
        <v>4782</v>
      </c>
      <c r="I75" s="1">
        <v>4976</v>
      </c>
      <c r="J75" s="1">
        <v>5100</v>
      </c>
    </row>
    <row r="76" spans="2:10" x14ac:dyDescent="0.3">
      <c r="B76" t="s">
        <v>53</v>
      </c>
      <c r="G76" s="1">
        <v>-2090</v>
      </c>
      <c r="H76" s="1">
        <v>-2147</v>
      </c>
      <c r="I76" s="1">
        <v>-1920</v>
      </c>
      <c r="J76" s="1">
        <v>-1924</v>
      </c>
    </row>
    <row r="77" spans="2:10" x14ac:dyDescent="0.3">
      <c r="B77" t="s">
        <v>59</v>
      </c>
      <c r="G77" s="1">
        <v>1437</v>
      </c>
      <c r="H77" s="1">
        <v>1041</v>
      </c>
      <c r="I77" s="1">
        <v>1378</v>
      </c>
      <c r="J77" s="1">
        <v>1663</v>
      </c>
    </row>
    <row r="78" spans="2:10" x14ac:dyDescent="0.3">
      <c r="B78" t="s">
        <v>60</v>
      </c>
      <c r="G78" s="1">
        <v>140</v>
      </c>
      <c r="H78" s="1">
        <v>62</v>
      </c>
      <c r="I78" s="1">
        <v>167</v>
      </c>
      <c r="J78" s="1">
        <v>661</v>
      </c>
    </row>
    <row r="79" spans="2:10" x14ac:dyDescent="0.3">
      <c r="B79" t="s">
        <v>33</v>
      </c>
      <c r="G79" s="1">
        <v>4364</v>
      </c>
      <c r="H79" s="1">
        <v>-1969</v>
      </c>
      <c r="I79" s="1">
        <v>-97</v>
      </c>
      <c r="J79" s="1">
        <v>-4615</v>
      </c>
    </row>
    <row r="80" spans="2:10" x14ac:dyDescent="0.3">
      <c r="B80" t="s">
        <v>17</v>
      </c>
      <c r="G80" s="1">
        <v>3820</v>
      </c>
      <c r="H80" s="1">
        <v>-4073</v>
      </c>
      <c r="I80" s="1">
        <v>-609</v>
      </c>
      <c r="J80" s="1">
        <v>1446</v>
      </c>
    </row>
    <row r="81" spans="2:10" x14ac:dyDescent="0.3">
      <c r="B81" t="s">
        <v>60</v>
      </c>
      <c r="G81" s="1">
        <v>-776</v>
      </c>
      <c r="H81" s="1">
        <v>-845</v>
      </c>
      <c r="I81" s="1">
        <v>-2647</v>
      </c>
      <c r="J81" s="1">
        <v>-778</v>
      </c>
    </row>
    <row r="82" spans="2:10" x14ac:dyDescent="0.3">
      <c r="B82" t="s">
        <v>43</v>
      </c>
      <c r="G82" s="1">
        <v>-2373</v>
      </c>
      <c r="H82" s="1">
        <v>1201</v>
      </c>
      <c r="I82" s="1">
        <v>1907</v>
      </c>
      <c r="J82" s="1">
        <v>-28</v>
      </c>
    </row>
    <row r="83" spans="2:10" x14ac:dyDescent="0.3">
      <c r="B83" t="s">
        <v>61</v>
      </c>
      <c r="G83" s="1">
        <v>-3216</v>
      </c>
      <c r="H83" s="1">
        <v>1497</v>
      </c>
      <c r="I83" s="1">
        <v>2210</v>
      </c>
      <c r="J83" s="1">
        <v>3424</v>
      </c>
    </row>
    <row r="84" spans="2:10" x14ac:dyDescent="0.3">
      <c r="B84" t="s">
        <v>46</v>
      </c>
      <c r="G84" s="1">
        <v>-828</v>
      </c>
      <c r="H84" s="1">
        <v>-114</v>
      </c>
      <c r="I84" s="1">
        <v>-80</v>
      </c>
      <c r="J84" s="1">
        <v>577</v>
      </c>
    </row>
    <row r="85" spans="2:10" x14ac:dyDescent="0.3">
      <c r="B85" t="s">
        <v>62</v>
      </c>
      <c r="G85" s="1">
        <v>-94</v>
      </c>
      <c r="H85" s="1">
        <v>86</v>
      </c>
      <c r="I85" s="1">
        <v>112</v>
      </c>
      <c r="J85" s="1">
        <v>263</v>
      </c>
    </row>
    <row r="86" spans="2:10" x14ac:dyDescent="0.3">
      <c r="B86" t="s">
        <v>63</v>
      </c>
      <c r="G86" s="1">
        <f>SUM(G72:G85)</f>
        <v>25106</v>
      </c>
      <c r="H86" s="1">
        <f>SUM(H72:H85)</f>
        <v>19422</v>
      </c>
      <c r="I86" s="1">
        <f>SUM(I72:I85)</f>
        <v>23353</v>
      </c>
      <c r="J86" s="1">
        <f>SUM(J72:J85)</f>
        <v>23614</v>
      </c>
    </row>
    <row r="88" spans="2:10" x14ac:dyDescent="0.3">
      <c r="B88" t="s">
        <v>64</v>
      </c>
      <c r="G88" s="1">
        <v>-9786</v>
      </c>
      <c r="H88" s="1">
        <v>-6828</v>
      </c>
      <c r="I88" s="1">
        <v>-7276</v>
      </c>
      <c r="J88" s="1">
        <v>-7595</v>
      </c>
    </row>
    <row r="89" spans="2:10" x14ac:dyDescent="0.3">
      <c r="B89" t="s">
        <v>65</v>
      </c>
      <c r="G89" s="1">
        <v>-28462</v>
      </c>
      <c r="H89" s="1">
        <v>-21737</v>
      </c>
      <c r="I89" s="1">
        <v>-17054</v>
      </c>
      <c r="J89" s="1">
        <v>-11621</v>
      </c>
    </row>
    <row r="90" spans="2:10" x14ac:dyDescent="0.3">
      <c r="B90" t="s">
        <v>66</v>
      </c>
      <c r="G90" s="1">
        <v>29779</v>
      </c>
      <c r="H90" s="1">
        <v>25595</v>
      </c>
      <c r="I90" s="1">
        <v>28713</v>
      </c>
      <c r="J90" s="1">
        <v>13735</v>
      </c>
    </row>
    <row r="91" spans="2:10" x14ac:dyDescent="0.3">
      <c r="B91" t="s">
        <v>67</v>
      </c>
      <c r="G91" s="1">
        <v>-776</v>
      </c>
      <c r="H91" s="1">
        <v>-488</v>
      </c>
      <c r="I91" s="1">
        <v>-364</v>
      </c>
      <c r="J91" s="1">
        <v>-903</v>
      </c>
    </row>
    <row r="92" spans="2:10" x14ac:dyDescent="0.3">
      <c r="B92" t="s">
        <v>68</v>
      </c>
      <c r="G92" s="1">
        <v>12</v>
      </c>
      <c r="H92" s="1">
        <v>113</v>
      </c>
      <c r="I92" s="1">
        <v>6</v>
      </c>
      <c r="J92" s="1">
        <v>19</v>
      </c>
    </row>
    <row r="93" spans="2:10" x14ac:dyDescent="0.3">
      <c r="B93" t="s">
        <v>69</v>
      </c>
      <c r="G93" s="1">
        <v>-173</v>
      </c>
      <c r="H93" s="1">
        <v>-1063</v>
      </c>
      <c r="I93" s="1">
        <v>-5649</v>
      </c>
      <c r="J93" s="1">
        <v>-84</v>
      </c>
    </row>
    <row r="94" spans="2:10" x14ac:dyDescent="0.3">
      <c r="B94" t="s">
        <v>60</v>
      </c>
      <c r="G94" s="1">
        <v>355</v>
      </c>
      <c r="H94" s="1">
        <v>221</v>
      </c>
      <c r="I94" s="1">
        <v>791</v>
      </c>
      <c r="J94" s="1">
        <v>222</v>
      </c>
    </row>
    <row r="95" spans="2:10" x14ac:dyDescent="0.3">
      <c r="B95" t="s">
        <v>70</v>
      </c>
      <c r="G95" s="1">
        <f>SUM(G88:G94)</f>
        <v>-9051</v>
      </c>
      <c r="H95" s="1">
        <f>SUM(H88:H94)</f>
        <v>-4187</v>
      </c>
      <c r="I95" s="1">
        <f>SUM(I88:I94)</f>
        <v>-833</v>
      </c>
      <c r="J95" s="1">
        <f>SUM(J88:J94)</f>
        <v>-6227</v>
      </c>
    </row>
    <row r="97" spans="1:19" x14ac:dyDescent="0.3">
      <c r="B97" t="s">
        <v>71</v>
      </c>
      <c r="G97" s="1">
        <v>-2916</v>
      </c>
      <c r="H97" s="1">
        <v>-2264</v>
      </c>
      <c r="I97" s="1">
        <v>-2041</v>
      </c>
      <c r="J97" s="1">
        <v>-2079</v>
      </c>
    </row>
    <row r="98" spans="1:19" x14ac:dyDescent="0.3">
      <c r="B98" t="s">
        <v>72</v>
      </c>
      <c r="G98" s="1">
        <v>-13300</v>
      </c>
      <c r="H98" s="1">
        <v>-15197</v>
      </c>
      <c r="I98" s="1">
        <v>-15392</v>
      </c>
      <c r="J98" s="1">
        <v>-15407</v>
      </c>
    </row>
    <row r="99" spans="1:19" x14ac:dyDescent="0.3">
      <c r="B99" t="s">
        <v>73</v>
      </c>
      <c r="G99" s="1">
        <v>16422</v>
      </c>
      <c r="H99" s="1">
        <v>12806</v>
      </c>
      <c r="I99" s="1">
        <v>15094</v>
      </c>
      <c r="J99" s="1">
        <v>8550</v>
      </c>
    </row>
    <row r="100" spans="1:19" x14ac:dyDescent="0.3">
      <c r="B100" t="s">
        <v>76</v>
      </c>
      <c r="G100" s="1">
        <v>-16420</v>
      </c>
      <c r="H100" s="1">
        <v>-13162</v>
      </c>
      <c r="I100" s="1">
        <v>-15768</v>
      </c>
      <c r="J100" s="1">
        <v>-8718</v>
      </c>
    </row>
    <row r="101" spans="1:19" x14ac:dyDescent="0.3">
      <c r="B101" t="s">
        <v>74</v>
      </c>
      <c r="G101" s="1">
        <v>0</v>
      </c>
      <c r="H101" s="1">
        <v>0</v>
      </c>
      <c r="I101" s="1">
        <v>10</v>
      </c>
      <c r="J101" s="1">
        <v>25</v>
      </c>
    </row>
    <row r="102" spans="1:19" x14ac:dyDescent="0.3">
      <c r="B102" t="s">
        <v>75</v>
      </c>
      <c r="G102" s="1">
        <f>SUM(G97:G101)</f>
        <v>-16214</v>
      </c>
      <c r="H102" s="1">
        <f>SUM(H97:H101)</f>
        <v>-17817</v>
      </c>
      <c r="I102" s="1">
        <f>SUM(I97:I101)</f>
        <v>-18097</v>
      </c>
      <c r="J102" s="1">
        <f>SUM(J97:J101)</f>
        <v>-17629</v>
      </c>
    </row>
    <row r="104" spans="1:19" x14ac:dyDescent="0.3">
      <c r="B104" t="s">
        <v>77</v>
      </c>
      <c r="G104" s="1">
        <v>100</v>
      </c>
      <c r="H104" s="1">
        <v>-368</v>
      </c>
      <c r="I104" s="1">
        <v>-375</v>
      </c>
      <c r="J104" s="1">
        <v>137</v>
      </c>
    </row>
    <row r="105" spans="1:19" x14ac:dyDescent="0.3">
      <c r="B105" t="s">
        <v>78</v>
      </c>
      <c r="G105" s="1">
        <f>G104+G102+G95+G86</f>
        <v>-59</v>
      </c>
      <c r="H105" s="1">
        <f>H104+H102+H95+H86</f>
        <v>-2950</v>
      </c>
      <c r="I105" s="1">
        <f>I104+I102+I95+I86</f>
        <v>4048</v>
      </c>
      <c r="J105" s="1">
        <f>J104+J102+J95+J86</f>
        <v>-105</v>
      </c>
    </row>
    <row r="106" spans="1:19" x14ac:dyDescent="0.3">
      <c r="B106" t="s">
        <v>79</v>
      </c>
    </row>
    <row r="107" spans="1:19" x14ac:dyDescent="0.3">
      <c r="B107" t="s">
        <v>80</v>
      </c>
    </row>
    <row r="109" spans="1:19" s="4" customFormat="1" x14ac:dyDescent="0.3">
      <c r="A109" s="3"/>
      <c r="B109" s="3" t="s">
        <v>81</v>
      </c>
      <c r="G109" s="4">
        <f>G86+G88</f>
        <v>15320</v>
      </c>
      <c r="H109" s="4">
        <f>H86+H88</f>
        <v>12594</v>
      </c>
      <c r="I109" s="4">
        <f>I86+I88</f>
        <v>16077</v>
      </c>
      <c r="J109" s="4">
        <f>J86+J88</f>
        <v>16019</v>
      </c>
      <c r="S109" s="4">
        <f>SUM(G109:J109)</f>
        <v>60010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Grenci</dc:creator>
  <cp:lastModifiedBy>Michael Grenci</cp:lastModifiedBy>
  <dcterms:created xsi:type="dcterms:W3CDTF">2015-06-05T18:17:20Z</dcterms:created>
  <dcterms:modified xsi:type="dcterms:W3CDTF">2023-03-22T00:17:00Z</dcterms:modified>
</cp:coreProperties>
</file>