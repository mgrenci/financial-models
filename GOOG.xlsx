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BDCF7F5A-A149-4591-8702-8408A27BBA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C20" i="2"/>
  <c r="F19" i="2"/>
  <c r="E19" i="2"/>
  <c r="I18" i="2"/>
  <c r="H18" i="2"/>
  <c r="G18" i="2"/>
  <c r="J18" i="2"/>
  <c r="S16" i="2"/>
  <c r="S13" i="2"/>
  <c r="S11" i="2"/>
  <c r="S8" i="2"/>
  <c r="S7" i="2"/>
  <c r="S6" i="2"/>
  <c r="S9" i="2" s="1"/>
  <c r="S4" i="2"/>
  <c r="S3" i="2"/>
  <c r="S5" i="2" s="1"/>
  <c r="R16" i="2"/>
  <c r="R13" i="2"/>
  <c r="R11" i="2"/>
  <c r="R8" i="2"/>
  <c r="R7" i="2"/>
  <c r="R6" i="2"/>
  <c r="R9" i="2" s="1"/>
  <c r="R4" i="2"/>
  <c r="R3" i="2"/>
  <c r="R5" i="2" s="1"/>
  <c r="R10" i="2" s="1"/>
  <c r="R12" i="2" s="1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G16" i="2"/>
  <c r="C9" i="2"/>
  <c r="C5" i="2"/>
  <c r="C10" i="2" s="1"/>
  <c r="C12" i="2" s="1"/>
  <c r="C14" i="2" s="1"/>
  <c r="G9" i="2"/>
  <c r="G5" i="2"/>
  <c r="D9" i="2"/>
  <c r="D5" i="2"/>
  <c r="D19" i="2" s="1"/>
  <c r="H9" i="2"/>
  <c r="H5" i="2"/>
  <c r="H10" i="2" s="1"/>
  <c r="H12" i="2" s="1"/>
  <c r="H14" i="2" s="1"/>
  <c r="H15" i="2" s="1"/>
  <c r="I81" i="2"/>
  <c r="I74" i="2"/>
  <c r="I65" i="2"/>
  <c r="I88" i="2" s="1"/>
  <c r="I41" i="2"/>
  <c r="I39" i="2"/>
  <c r="I27" i="2"/>
  <c r="I23" i="2"/>
  <c r="I22" i="2" s="1"/>
  <c r="E9" i="2"/>
  <c r="E5" i="2"/>
  <c r="E10" i="2" s="1"/>
  <c r="E12" i="2" s="1"/>
  <c r="E14" i="2" s="1"/>
  <c r="E15" i="2" s="1"/>
  <c r="I9" i="2"/>
  <c r="I5" i="2"/>
  <c r="I19" i="2" s="1"/>
  <c r="J81" i="2"/>
  <c r="J74" i="2"/>
  <c r="J65" i="2"/>
  <c r="J88" i="2" s="1"/>
  <c r="J39" i="2"/>
  <c r="J45" i="2" s="1"/>
  <c r="J47" i="2" s="1"/>
  <c r="J7" i="1"/>
  <c r="J9" i="1" s="1"/>
  <c r="J23" i="2"/>
  <c r="J33" i="2" s="1"/>
  <c r="F9" i="2"/>
  <c r="F5" i="2"/>
  <c r="J9" i="2"/>
  <c r="J5" i="2"/>
  <c r="J19" i="2" s="1"/>
  <c r="J5" i="1"/>
  <c r="J6" i="1" s="1"/>
  <c r="G10" i="2" l="1"/>
  <c r="G12" i="2" s="1"/>
  <c r="H20" i="2"/>
  <c r="R14" i="2"/>
  <c r="R15" i="2" s="1"/>
  <c r="G19" i="2"/>
  <c r="H19" i="2"/>
  <c r="C19" i="2"/>
  <c r="I45" i="2"/>
  <c r="I47" i="2" s="1"/>
  <c r="I84" i="2"/>
  <c r="S10" i="2"/>
  <c r="S12" i="2" s="1"/>
  <c r="S14" i="2" s="1"/>
  <c r="S15" i="2" s="1"/>
  <c r="I33" i="2"/>
  <c r="D10" i="2"/>
  <c r="D12" i="2" s="1"/>
  <c r="J84" i="2"/>
  <c r="I10" i="2"/>
  <c r="I12" i="2" s="1"/>
  <c r="J22" i="2"/>
  <c r="J10" i="2"/>
  <c r="J12" i="2" s="1"/>
  <c r="F10" i="2"/>
  <c r="F12" i="2" s="1"/>
  <c r="G14" i="2" l="1"/>
  <c r="G15" i="2" s="1"/>
  <c r="G20" i="2"/>
  <c r="F14" i="2"/>
  <c r="F15" i="2" s="1"/>
  <c r="F20" i="2"/>
  <c r="J14" i="2"/>
  <c r="J15" i="2" s="1"/>
  <c r="J20" i="2"/>
  <c r="I14" i="2"/>
  <c r="I15" i="2" s="1"/>
  <c r="I20" i="2"/>
  <c r="D14" i="2"/>
  <c r="D15" i="2" s="1"/>
  <c r="D20" i="2"/>
  <c r="J50" i="2" l="1"/>
  <c r="I50" i="2"/>
</calcChain>
</file>

<file path=xl/sharedStrings.xml><?xml version="1.0" encoding="utf-8"?>
<sst xmlns="http://schemas.openxmlformats.org/spreadsheetml/2006/main" count="102" uniqueCount="89">
  <si>
    <t>Price</t>
  </si>
  <si>
    <t>S/O</t>
  </si>
  <si>
    <t>MC</t>
  </si>
  <si>
    <t>Cash</t>
  </si>
  <si>
    <t xml:space="preserve">Debt </t>
  </si>
  <si>
    <t xml:space="preserve">EV </t>
  </si>
  <si>
    <t>Q422</t>
  </si>
  <si>
    <t xml:space="preserve">Revenue </t>
  </si>
  <si>
    <t xml:space="preserve">GOGS </t>
  </si>
  <si>
    <t xml:space="preserve">Gross Profit </t>
  </si>
  <si>
    <t>R&amp;D</t>
  </si>
  <si>
    <t>S&amp;M</t>
  </si>
  <si>
    <t>G&amp;A</t>
  </si>
  <si>
    <t xml:space="preserve">Operating Expenses </t>
  </si>
  <si>
    <t>Operating Income</t>
  </si>
  <si>
    <t xml:space="preserve">Other Income </t>
  </si>
  <si>
    <t xml:space="preserve">Pretax Income </t>
  </si>
  <si>
    <t xml:space="preserve">Taxes </t>
  </si>
  <si>
    <t xml:space="preserve">Net Income </t>
  </si>
  <si>
    <t xml:space="preserve">EPS </t>
  </si>
  <si>
    <t>Q322</t>
  </si>
  <si>
    <t>Q222</t>
  </si>
  <si>
    <t>Q122</t>
  </si>
  <si>
    <t>Q421</t>
  </si>
  <si>
    <t>Q321</t>
  </si>
  <si>
    <t>Q221</t>
  </si>
  <si>
    <t>Q121</t>
  </si>
  <si>
    <t>Q123</t>
  </si>
  <si>
    <t>Q223</t>
  </si>
  <si>
    <t>Q323</t>
  </si>
  <si>
    <t>Q423</t>
  </si>
  <si>
    <t xml:space="preserve">Net Cash </t>
  </si>
  <si>
    <t xml:space="preserve">Cash </t>
  </si>
  <si>
    <t>A/R</t>
  </si>
  <si>
    <t xml:space="preserve">Inventory </t>
  </si>
  <si>
    <t xml:space="preserve">OCA </t>
  </si>
  <si>
    <t>DT</t>
  </si>
  <si>
    <t>PP&amp;E</t>
  </si>
  <si>
    <t xml:space="preserve">Operating lease </t>
  </si>
  <si>
    <t xml:space="preserve">Intangibles </t>
  </si>
  <si>
    <t xml:space="preserve">Goodwill </t>
  </si>
  <si>
    <t>ONCA</t>
  </si>
  <si>
    <t xml:space="preserve">Assets </t>
  </si>
  <si>
    <t>A/P</t>
  </si>
  <si>
    <t xml:space="preserve">Compensation &amp; benefits </t>
  </si>
  <si>
    <t xml:space="preserve">AE &amp; OCL </t>
  </si>
  <si>
    <t xml:space="preserve">Revenue share </t>
  </si>
  <si>
    <t xml:space="preserve">Deferred revenue </t>
  </si>
  <si>
    <t xml:space="preserve">OLTL </t>
  </si>
  <si>
    <t xml:space="preserve">Liabilities </t>
  </si>
  <si>
    <t>S/E</t>
  </si>
  <si>
    <t>L + S/E</t>
  </si>
  <si>
    <t xml:space="preserve">Taxes payable </t>
  </si>
  <si>
    <t xml:space="preserve">DT </t>
  </si>
  <si>
    <t xml:space="preserve">Model NI </t>
  </si>
  <si>
    <t xml:space="preserve">Reported NI </t>
  </si>
  <si>
    <t xml:space="preserve">Depreciation </t>
  </si>
  <si>
    <t xml:space="preserve">Amortization </t>
  </si>
  <si>
    <t xml:space="preserve">SBC </t>
  </si>
  <si>
    <t xml:space="preserve">Securities </t>
  </si>
  <si>
    <t xml:space="preserve">Other </t>
  </si>
  <si>
    <t xml:space="preserve">AE &amp; OL </t>
  </si>
  <si>
    <t xml:space="preserve">DR </t>
  </si>
  <si>
    <t xml:space="preserve">CFFO </t>
  </si>
  <si>
    <t xml:space="preserve">CapEx </t>
  </si>
  <si>
    <t xml:space="preserve">Purchases MS </t>
  </si>
  <si>
    <t xml:space="preserve">Maturities &amp; sales MS </t>
  </si>
  <si>
    <t xml:space="preserve">Purchases NMS </t>
  </si>
  <si>
    <t xml:space="preserve">Maturities &amp; sales NMS </t>
  </si>
  <si>
    <t xml:space="preserve">Acquisitions </t>
  </si>
  <si>
    <t xml:space="preserve">CFFI </t>
  </si>
  <si>
    <t xml:space="preserve">Stock-based awards </t>
  </si>
  <si>
    <t xml:space="preserve">Repurchases </t>
  </si>
  <si>
    <t xml:space="preserve">Proceeds of debt </t>
  </si>
  <si>
    <t xml:space="preserve">Proceeds consolidated entities </t>
  </si>
  <si>
    <t xml:space="preserve">CFFF </t>
  </si>
  <si>
    <t xml:space="preserve">Repayments of debt </t>
  </si>
  <si>
    <t>FX</t>
  </si>
  <si>
    <t xml:space="preserve">CIC </t>
  </si>
  <si>
    <t xml:space="preserve">Beginning cash </t>
  </si>
  <si>
    <t xml:space="preserve">Ending Cash </t>
  </si>
  <si>
    <t>FCF</t>
  </si>
  <si>
    <t>Dec 31/2022</t>
  </si>
  <si>
    <t>Sept 30/2022</t>
  </si>
  <si>
    <t>June 30/2022</t>
  </si>
  <si>
    <t>Mar 31/2022</t>
  </si>
  <si>
    <t>Revenue y/y</t>
  </si>
  <si>
    <t xml:space="preserve">Gross Margin </t>
  </si>
  <si>
    <t xml:space="preserve">Tax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</si>
</sst>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175260</xdr:rowOff>
    </xdr:from>
    <xdr:to>
      <xdr:col>10</xdr:col>
      <xdr:colOff>15240</xdr:colOff>
      <xdr:row>33</xdr:row>
      <xdr:rowOff>121920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94EADA-C41A-34F5-5ECC-EC650370E627}"/>
            </a:ext>
          </a:extLst>
        </xdr:cNvPr>
        <xdr:cNvCxnSpPr/>
      </xdr:nvCxnSpPr>
      <xdr:spPr>
        <a:xfrm>
          <a:off x="7345680" y="175260"/>
          <a:ext cx="0" cy="5615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K9"/>
  <sheetViews>
    <sheetView workbookViewId="0">
      <selection activeCell="J7" sqref="J7"/>
    </sheetView>
  </sheetViews>
  <sheetFormatPr defaultRowHeight="14.4" x14ac:dyDescent="0.3"/>
  <cols>
    <col min="10" max="10" width="8.88671875" style="1"/>
  </cols>
  <sheetData>
    <row r="1" spans="9:11" x14ac:dyDescent="0.3">
      <c r="J1"/>
    </row>
    <row r="2" spans="9:11" x14ac:dyDescent="0.3">
      <c r="J2"/>
    </row>
    <row r="3" spans="9:11" x14ac:dyDescent="0.3">
      <c r="J3"/>
    </row>
    <row r="4" spans="9:11" x14ac:dyDescent="0.3">
      <c r="I4" t="s">
        <v>0</v>
      </c>
      <c r="J4">
        <v>104.36</v>
      </c>
    </row>
    <row r="5" spans="9:11" x14ac:dyDescent="0.3">
      <c r="I5" t="s">
        <v>1</v>
      </c>
      <c r="J5" s="1">
        <f>5956+883+5968</f>
        <v>12807</v>
      </c>
      <c r="K5" t="s">
        <v>6</v>
      </c>
    </row>
    <row r="6" spans="9:11" x14ac:dyDescent="0.3">
      <c r="I6" t="s">
        <v>2</v>
      </c>
      <c r="J6" s="1">
        <f>J4*J5</f>
        <v>1336538.52</v>
      </c>
    </row>
    <row r="7" spans="9:11" x14ac:dyDescent="0.3">
      <c r="I7" t="s">
        <v>3</v>
      </c>
      <c r="J7" s="1">
        <f>21879+91883+30492</f>
        <v>144254</v>
      </c>
      <c r="K7" t="s">
        <v>6</v>
      </c>
    </row>
    <row r="8" spans="9:11" x14ac:dyDescent="0.3">
      <c r="I8" t="s">
        <v>4</v>
      </c>
      <c r="J8" s="1">
        <v>14701</v>
      </c>
      <c r="K8" t="s">
        <v>6</v>
      </c>
    </row>
    <row r="9" spans="9:11" x14ac:dyDescent="0.3">
      <c r="I9" t="s">
        <v>5</v>
      </c>
      <c r="J9" s="1">
        <f>J6-J7+J8</f>
        <v>1206985.52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AAC7-0C74-4175-A509-F8C6D1FBBAAD}">
  <dimension ref="A1:AC88"/>
  <sheetViews>
    <sheetView tabSelected="1" workbookViewId="0">
      <pane xSplit="2" ySplit="2" topLeftCell="C63" activePane="bottomRight" state="frozen"/>
      <selection pane="topRight" activeCell="C1" sqref="C1"/>
      <selection pane="bottomLeft" activeCell="A3" sqref="A3"/>
      <selection pane="bottomRight" activeCell="M20" sqref="M20"/>
    </sheetView>
  </sheetViews>
  <sheetFormatPr defaultRowHeight="14.4" x14ac:dyDescent="0.3"/>
  <cols>
    <col min="2" max="2" width="26.6640625" bestFit="1" customWidth="1"/>
    <col min="3" max="3" width="9.109375" style="1" customWidth="1"/>
    <col min="4" max="16384" width="8.88671875" style="1"/>
  </cols>
  <sheetData>
    <row r="1" spans="1:29" customFormat="1" x14ac:dyDescent="0.3">
      <c r="G1" t="s">
        <v>85</v>
      </c>
      <c r="H1" t="s">
        <v>84</v>
      </c>
      <c r="I1" t="s">
        <v>83</v>
      </c>
      <c r="J1" t="s">
        <v>82</v>
      </c>
    </row>
    <row r="2" spans="1:29" customFormat="1" x14ac:dyDescent="0.3">
      <c r="C2" t="s">
        <v>26</v>
      </c>
      <c r="D2" t="s">
        <v>25</v>
      </c>
      <c r="E2" t="s">
        <v>24</v>
      </c>
      <c r="F2" t="s">
        <v>23</v>
      </c>
      <c r="G2" t="s">
        <v>22</v>
      </c>
      <c r="H2" t="s">
        <v>21</v>
      </c>
      <c r="I2" t="s">
        <v>20</v>
      </c>
      <c r="J2" t="s">
        <v>6</v>
      </c>
      <c r="K2" t="s">
        <v>27</v>
      </c>
      <c r="L2" t="s">
        <v>28</v>
      </c>
      <c r="M2" t="s">
        <v>29</v>
      </c>
      <c r="N2" t="s">
        <v>30</v>
      </c>
      <c r="Q2">
        <v>2020</v>
      </c>
      <c r="R2">
        <f>Q2+1</f>
        <v>2021</v>
      </c>
      <c r="S2">
        <f t="shared" ref="S2:AC2" si="0">R2+1</f>
        <v>2022</v>
      </c>
      <c r="T2">
        <f t="shared" si="0"/>
        <v>2023</v>
      </c>
      <c r="U2">
        <f t="shared" si="0"/>
        <v>2024</v>
      </c>
      <c r="V2">
        <f t="shared" si="0"/>
        <v>2025</v>
      </c>
      <c r="W2">
        <f t="shared" si="0"/>
        <v>2026</v>
      </c>
      <c r="X2">
        <f t="shared" si="0"/>
        <v>2027</v>
      </c>
      <c r="Y2">
        <f t="shared" si="0"/>
        <v>2028</v>
      </c>
      <c r="Z2">
        <f t="shared" si="0"/>
        <v>2029</v>
      </c>
      <c r="AA2">
        <f t="shared" si="0"/>
        <v>2030</v>
      </c>
      <c r="AB2">
        <f t="shared" si="0"/>
        <v>2031</v>
      </c>
      <c r="AC2">
        <f t="shared" si="0"/>
        <v>2032</v>
      </c>
    </row>
    <row r="3" spans="1:29" x14ac:dyDescent="0.3">
      <c r="B3" t="s">
        <v>7</v>
      </c>
      <c r="C3" s="1">
        <v>55314</v>
      </c>
      <c r="D3" s="1">
        <v>61880</v>
      </c>
      <c r="E3" s="1">
        <v>65118</v>
      </c>
      <c r="F3" s="1">
        <v>75325</v>
      </c>
      <c r="G3" s="1">
        <v>68011</v>
      </c>
      <c r="H3" s="1">
        <v>69685</v>
      </c>
      <c r="I3" s="1">
        <v>69092</v>
      </c>
      <c r="J3" s="1">
        <v>76048</v>
      </c>
      <c r="R3" s="1">
        <f>SUM(C3:F3)</f>
        <v>257637</v>
      </c>
      <c r="S3" s="1">
        <f>SUM(G3:J3)</f>
        <v>282836</v>
      </c>
    </row>
    <row r="4" spans="1:29" x14ac:dyDescent="0.3">
      <c r="B4" t="s">
        <v>8</v>
      </c>
      <c r="C4" s="1">
        <v>24103</v>
      </c>
      <c r="D4" s="1">
        <v>26227</v>
      </c>
      <c r="E4" s="1">
        <v>27621</v>
      </c>
      <c r="F4" s="1">
        <v>32988</v>
      </c>
      <c r="G4" s="1">
        <v>29599</v>
      </c>
      <c r="H4" s="1">
        <v>30104</v>
      </c>
      <c r="I4" s="1">
        <v>31158</v>
      </c>
      <c r="J4" s="1">
        <v>35342</v>
      </c>
      <c r="R4" s="1">
        <f>SUM(C4:F4)</f>
        <v>110939</v>
      </c>
      <c r="S4" s="1">
        <f>SUM(G4:J4)</f>
        <v>126203</v>
      </c>
    </row>
    <row r="5" spans="1:29" x14ac:dyDescent="0.3">
      <c r="B5" t="s">
        <v>9</v>
      </c>
      <c r="C5" s="1">
        <f>C3-C4</f>
        <v>31211</v>
      </c>
      <c r="D5" s="1">
        <f>D3-D4</f>
        <v>35653</v>
      </c>
      <c r="E5" s="1">
        <f>E3-E4</f>
        <v>37497</v>
      </c>
      <c r="F5" s="1">
        <f>F3-F4</f>
        <v>42337</v>
      </c>
      <c r="G5" s="1">
        <f>G3-G4</f>
        <v>38412</v>
      </c>
      <c r="H5" s="1">
        <f>H3-H4</f>
        <v>39581</v>
      </c>
      <c r="I5" s="1">
        <f>I3-I4</f>
        <v>37934</v>
      </c>
      <c r="J5" s="1">
        <f>J3-J4</f>
        <v>40706</v>
      </c>
      <c r="R5" s="1">
        <f>R3-R4</f>
        <v>146698</v>
      </c>
      <c r="S5" s="1">
        <f>S3-S4</f>
        <v>156633</v>
      </c>
    </row>
    <row r="6" spans="1:29" x14ac:dyDescent="0.3">
      <c r="B6" t="s">
        <v>10</v>
      </c>
      <c r="C6" s="1">
        <v>7485</v>
      </c>
      <c r="D6" s="1">
        <v>7675</v>
      </c>
      <c r="E6" s="1">
        <v>7694</v>
      </c>
      <c r="F6" s="1">
        <v>8708</v>
      </c>
      <c r="G6" s="1">
        <v>9119</v>
      </c>
      <c r="H6" s="1">
        <v>9841</v>
      </c>
      <c r="I6" s="1">
        <v>10273</v>
      </c>
      <c r="J6" s="1">
        <v>10267</v>
      </c>
      <c r="R6" s="1">
        <f>SUM(C6:F6)</f>
        <v>31562</v>
      </c>
      <c r="S6" s="1">
        <f>SUM(G6:J6)</f>
        <v>39500</v>
      </c>
    </row>
    <row r="7" spans="1:29" x14ac:dyDescent="0.3">
      <c r="B7" t="s">
        <v>11</v>
      </c>
      <c r="C7" s="1">
        <v>4516</v>
      </c>
      <c r="D7" s="1">
        <v>5276</v>
      </c>
      <c r="E7" s="1">
        <v>5516</v>
      </c>
      <c r="F7" s="1">
        <v>7604</v>
      </c>
      <c r="G7" s="1">
        <v>5825</v>
      </c>
      <c r="H7" s="1">
        <v>6630</v>
      </c>
      <c r="I7" s="1">
        <v>6929</v>
      </c>
      <c r="J7" s="1">
        <v>7183</v>
      </c>
      <c r="R7" s="1">
        <f>SUM(C7:F7)</f>
        <v>22912</v>
      </c>
      <c r="S7" s="1">
        <f>SUM(G7:J7)</f>
        <v>26567</v>
      </c>
    </row>
    <row r="8" spans="1:29" x14ac:dyDescent="0.3">
      <c r="B8" t="s">
        <v>12</v>
      </c>
      <c r="C8" s="1">
        <v>2773</v>
      </c>
      <c r="D8" s="1">
        <v>3341</v>
      </c>
      <c r="E8" s="1">
        <v>3256</v>
      </c>
      <c r="F8" s="1">
        <v>4140</v>
      </c>
      <c r="G8" s="1">
        <v>3374</v>
      </c>
      <c r="H8" s="1">
        <v>3657</v>
      </c>
      <c r="I8" s="1">
        <v>3597</v>
      </c>
      <c r="J8" s="1">
        <v>5096</v>
      </c>
      <c r="R8" s="1">
        <f>SUM(C8:F8)</f>
        <v>13510</v>
      </c>
      <c r="S8" s="1">
        <f>SUM(G8:J8)</f>
        <v>15724</v>
      </c>
    </row>
    <row r="9" spans="1:29" x14ac:dyDescent="0.3">
      <c r="B9" t="s">
        <v>13</v>
      </c>
      <c r="C9" s="1">
        <f>SUM(C6:C8)</f>
        <v>14774</v>
      </c>
      <c r="D9" s="1">
        <f>SUM(D6:D8)</f>
        <v>16292</v>
      </c>
      <c r="E9" s="1">
        <f>SUM(E6:E8)</f>
        <v>16466</v>
      </c>
      <c r="F9" s="1">
        <f>SUM(F6:F8)</f>
        <v>20452</v>
      </c>
      <c r="G9" s="1">
        <f>SUM(G6:G8)</f>
        <v>18318</v>
      </c>
      <c r="H9" s="1">
        <f>SUM(H6:H8)</f>
        <v>20128</v>
      </c>
      <c r="I9" s="1">
        <f>SUM(I6:I8)</f>
        <v>20799</v>
      </c>
      <c r="J9" s="1">
        <f>SUM(J6:J8)</f>
        <v>22546</v>
      </c>
      <c r="R9" s="1">
        <f>SUM(R6:R8)</f>
        <v>67984</v>
      </c>
      <c r="S9" s="1">
        <f>SUM(S6:S8)</f>
        <v>81791</v>
      </c>
    </row>
    <row r="10" spans="1:29" x14ac:dyDescent="0.3">
      <c r="B10" t="s">
        <v>14</v>
      </c>
      <c r="C10" s="1">
        <f>C5-C9</f>
        <v>16437</v>
      </c>
      <c r="D10" s="1">
        <f>D5-D9</f>
        <v>19361</v>
      </c>
      <c r="E10" s="1">
        <f>E5-E9</f>
        <v>21031</v>
      </c>
      <c r="F10" s="1">
        <f>F5-F9</f>
        <v>21885</v>
      </c>
      <c r="G10" s="1">
        <f>G5-G9</f>
        <v>20094</v>
      </c>
      <c r="H10" s="1">
        <f>H5-H9</f>
        <v>19453</v>
      </c>
      <c r="I10" s="1">
        <f>I5-I9</f>
        <v>17135</v>
      </c>
      <c r="J10" s="1">
        <f>J5-J9</f>
        <v>18160</v>
      </c>
      <c r="R10" s="1">
        <f>R5-R9</f>
        <v>78714</v>
      </c>
      <c r="S10" s="1">
        <f>S5-S9</f>
        <v>74842</v>
      </c>
    </row>
    <row r="11" spans="1:29" x14ac:dyDescent="0.3">
      <c r="B11" t="s">
        <v>15</v>
      </c>
      <c r="C11" s="1">
        <v>4846</v>
      </c>
      <c r="D11" s="1">
        <v>2624</v>
      </c>
      <c r="E11" s="1">
        <v>2033</v>
      </c>
      <c r="F11" s="1">
        <v>2517</v>
      </c>
      <c r="G11" s="1">
        <v>-1160</v>
      </c>
      <c r="H11" s="1">
        <v>-439</v>
      </c>
      <c r="I11" s="1">
        <v>-902</v>
      </c>
      <c r="J11" s="1">
        <v>-1013</v>
      </c>
      <c r="R11" s="1">
        <f>SUM(C11:F11)</f>
        <v>12020</v>
      </c>
      <c r="S11" s="1">
        <f>SUM(G11:J11)</f>
        <v>-3514</v>
      </c>
    </row>
    <row r="12" spans="1:29" x14ac:dyDescent="0.3">
      <c r="B12" t="s">
        <v>16</v>
      </c>
      <c r="C12" s="1">
        <f>C10+C11</f>
        <v>21283</v>
      </c>
      <c r="D12" s="1">
        <f>D10+D11</f>
        <v>21985</v>
      </c>
      <c r="E12" s="1">
        <f>E10+E11</f>
        <v>23064</v>
      </c>
      <c r="F12" s="1">
        <f>F10+F11</f>
        <v>24402</v>
      </c>
      <c r="G12" s="1">
        <f>G10+G11</f>
        <v>18934</v>
      </c>
      <c r="H12" s="1">
        <f>H10+H11</f>
        <v>19014</v>
      </c>
      <c r="I12" s="1">
        <f>I10+I11</f>
        <v>16233</v>
      </c>
      <c r="J12" s="1">
        <f>J10+J11</f>
        <v>17147</v>
      </c>
      <c r="R12" s="1">
        <f>R10+R11</f>
        <v>90734</v>
      </c>
      <c r="S12" s="1">
        <f>S10+S11</f>
        <v>71328</v>
      </c>
    </row>
    <row r="13" spans="1:29" x14ac:dyDescent="0.3">
      <c r="B13" t="s">
        <v>17</v>
      </c>
      <c r="C13" s="1">
        <v>3353</v>
      </c>
      <c r="D13" s="1">
        <v>3460</v>
      </c>
      <c r="E13" s="1">
        <v>4128</v>
      </c>
      <c r="F13" s="1">
        <v>3760</v>
      </c>
      <c r="G13" s="1">
        <v>2498</v>
      </c>
      <c r="H13" s="1">
        <v>3012</v>
      </c>
      <c r="I13" s="1">
        <v>2323</v>
      </c>
      <c r="J13" s="1">
        <v>3523</v>
      </c>
      <c r="R13" s="1">
        <f>SUM(C13:F13)</f>
        <v>14701</v>
      </c>
      <c r="S13" s="1">
        <f>SUM(G13:J13)</f>
        <v>11356</v>
      </c>
    </row>
    <row r="14" spans="1:29" s="4" customFormat="1" x14ac:dyDescent="0.3">
      <c r="A14" s="3"/>
      <c r="B14" s="3" t="s">
        <v>18</v>
      </c>
      <c r="C14" s="4">
        <f>C12-C13</f>
        <v>17930</v>
      </c>
      <c r="D14" s="4">
        <f>D12-D13</f>
        <v>18525</v>
      </c>
      <c r="E14" s="4">
        <f>E12-E13</f>
        <v>18936</v>
      </c>
      <c r="F14" s="4">
        <f>F12-F13</f>
        <v>20642</v>
      </c>
      <c r="G14" s="4">
        <f>G12-G13</f>
        <v>16436</v>
      </c>
      <c r="H14" s="4">
        <f>H12-H13</f>
        <v>16002</v>
      </c>
      <c r="I14" s="4">
        <f>I12-I13</f>
        <v>13910</v>
      </c>
      <c r="J14" s="4">
        <f>J12-J13</f>
        <v>13624</v>
      </c>
      <c r="R14" s="4">
        <f>R12-R13</f>
        <v>76033</v>
      </c>
      <c r="S14" s="4">
        <f>S12-S13</f>
        <v>59972</v>
      </c>
    </row>
    <row r="15" spans="1:29" x14ac:dyDescent="0.3">
      <c r="B15" t="s">
        <v>19</v>
      </c>
      <c r="C15" s="2"/>
      <c r="D15" s="2">
        <f>D14/D16</f>
        <v>1.3846326332311831</v>
      </c>
      <c r="E15" s="2">
        <f>E14/E16</f>
        <v>1.4221554637626737</v>
      </c>
      <c r="F15" s="2">
        <f>F14/F16</f>
        <v>1.5575341432128575</v>
      </c>
      <c r="G15" s="2">
        <f>G14/G16</f>
        <v>24.959761685726178</v>
      </c>
      <c r="H15" s="2">
        <f>H14/H16</f>
        <v>1.2184573212518084</v>
      </c>
      <c r="I15" s="2">
        <f>I14/I16</f>
        <v>1.0685205100629898</v>
      </c>
      <c r="J15" s="2">
        <f>J14/J16</f>
        <v>1.0563696983794681</v>
      </c>
      <c r="R15" s="2">
        <f>R14/R16</f>
        <v>5.7100408040653869</v>
      </c>
      <c r="S15" s="2">
        <f>S14/S16</f>
        <v>4.6075599262446216</v>
      </c>
    </row>
    <row r="16" spans="1:29" x14ac:dyDescent="0.3">
      <c r="B16" t="s">
        <v>1</v>
      </c>
      <c r="D16" s="1">
        <v>13379</v>
      </c>
      <c r="E16" s="1">
        <v>13315</v>
      </c>
      <c r="F16" s="1">
        <v>13253</v>
      </c>
      <c r="G16" s="1">
        <f>300.763622+44.359838+313.376417</f>
        <v>658.49987699999997</v>
      </c>
      <c r="H16" s="1">
        <v>13133</v>
      </c>
      <c r="I16" s="1">
        <v>13018</v>
      </c>
      <c r="J16" s="1">
        <v>12897</v>
      </c>
      <c r="R16" s="1">
        <f>AVERAGE(C16:F16)</f>
        <v>13315.666666666666</v>
      </c>
      <c r="S16" s="1">
        <f>AVERAGE(H16:J16)</f>
        <v>13016</v>
      </c>
    </row>
    <row r="18" spans="1:10" x14ac:dyDescent="0.3">
      <c r="B18" t="s">
        <v>86</v>
      </c>
      <c r="F18" s="5"/>
      <c r="G18" s="5">
        <f t="shared" ref="G18:I18" si="1">G3/C3-1</f>
        <v>0.22954405756228069</v>
      </c>
      <c r="H18" s="5">
        <f t="shared" si="1"/>
        <v>0.12613122171945701</v>
      </c>
      <c r="I18" s="5">
        <f t="shared" si="1"/>
        <v>6.1027672840074931E-2</v>
      </c>
      <c r="J18" s="5">
        <f>J3/F3-1</f>
        <v>9.5984069034185104E-3</v>
      </c>
    </row>
    <row r="19" spans="1:10" x14ac:dyDescent="0.3">
      <c r="B19" t="s">
        <v>87</v>
      </c>
      <c r="C19" s="5">
        <f t="shared" ref="C19:F19" si="2">C5/C3</f>
        <v>0.56425136493473627</v>
      </c>
      <c r="D19" s="5">
        <f t="shared" si="2"/>
        <v>0.57616354234001288</v>
      </c>
      <c r="E19" s="5">
        <f t="shared" si="2"/>
        <v>0.57583156730857832</v>
      </c>
      <c r="F19" s="5">
        <f t="shared" si="2"/>
        <v>0.56205774975107869</v>
      </c>
      <c r="G19" s="5">
        <f t="shared" ref="G19:I19" si="3">G5/G3</f>
        <v>0.5647909896928438</v>
      </c>
      <c r="H19" s="5">
        <f t="shared" si="3"/>
        <v>0.56799885197675248</v>
      </c>
      <c r="I19" s="5">
        <f t="shared" si="3"/>
        <v>0.54903606785156023</v>
      </c>
      <c r="J19" s="5">
        <f>J5/J3</f>
        <v>0.53526719966337055</v>
      </c>
    </row>
    <row r="20" spans="1:10" x14ac:dyDescent="0.3">
      <c r="B20" t="s">
        <v>88</v>
      </c>
      <c r="C20" s="5">
        <f t="shared" ref="C20:I20" si="4">C13/C12</f>
        <v>0.15754357938260583</v>
      </c>
      <c r="D20" s="5">
        <f t="shared" si="4"/>
        <v>0.15738003183989083</v>
      </c>
      <c r="E20" s="5">
        <f t="shared" si="4"/>
        <v>0.17898022892819979</v>
      </c>
      <c r="F20" s="5">
        <f t="shared" si="4"/>
        <v>0.15408573067781328</v>
      </c>
      <c r="G20" s="5">
        <f t="shared" si="4"/>
        <v>0.13193197422625963</v>
      </c>
      <c r="H20" s="5">
        <f t="shared" si="4"/>
        <v>0.15840959293152415</v>
      </c>
      <c r="I20" s="5">
        <f t="shared" si="4"/>
        <v>0.14310355448777182</v>
      </c>
      <c r="J20" s="5">
        <f>J13/J12</f>
        <v>0.20545868081880211</v>
      </c>
    </row>
    <row r="22" spans="1:10" s="4" customFormat="1" x14ac:dyDescent="0.3">
      <c r="A22" s="3"/>
      <c r="B22" s="3" t="s">
        <v>31</v>
      </c>
      <c r="I22" s="4">
        <f>I23-I40</f>
        <v>132025</v>
      </c>
      <c r="J22" s="4">
        <f>J23-J40</f>
        <v>129553</v>
      </c>
    </row>
    <row r="23" spans="1:10" x14ac:dyDescent="0.3">
      <c r="B23" t="s">
        <v>32</v>
      </c>
      <c r="I23" s="1">
        <f>116259+30419</f>
        <v>146678</v>
      </c>
      <c r="J23" s="1">
        <f>113762+30492</f>
        <v>144254</v>
      </c>
    </row>
    <row r="24" spans="1:10" x14ac:dyDescent="0.3">
      <c r="B24" t="s">
        <v>33</v>
      </c>
      <c r="I24" s="1">
        <v>34697</v>
      </c>
      <c r="J24" s="1">
        <v>40258</v>
      </c>
    </row>
    <row r="25" spans="1:10" x14ac:dyDescent="0.3">
      <c r="B25" t="s">
        <v>34</v>
      </c>
      <c r="I25" s="1">
        <v>3156</v>
      </c>
      <c r="J25" s="1">
        <v>2670</v>
      </c>
    </row>
    <row r="26" spans="1:10" x14ac:dyDescent="0.3">
      <c r="B26" t="s">
        <v>35</v>
      </c>
      <c r="I26" s="1">
        <v>10518</v>
      </c>
      <c r="J26" s="1">
        <v>8105</v>
      </c>
    </row>
    <row r="27" spans="1:10" x14ac:dyDescent="0.3">
      <c r="B27" t="s">
        <v>36</v>
      </c>
      <c r="I27" s="1">
        <f>1479+2991</f>
        <v>4470</v>
      </c>
      <c r="J27" s="1">
        <v>5261</v>
      </c>
    </row>
    <row r="28" spans="1:10" x14ac:dyDescent="0.3">
      <c r="B28" t="s">
        <v>37</v>
      </c>
      <c r="I28" s="1">
        <v>108363</v>
      </c>
      <c r="J28" s="1">
        <v>112668</v>
      </c>
    </row>
    <row r="29" spans="1:10" x14ac:dyDescent="0.3">
      <c r="B29" t="s">
        <v>38</v>
      </c>
      <c r="I29" s="1">
        <v>13677</v>
      </c>
      <c r="J29" s="1">
        <v>14381</v>
      </c>
    </row>
    <row r="30" spans="1:10" x14ac:dyDescent="0.3">
      <c r="B30" t="s">
        <v>39</v>
      </c>
      <c r="I30" s="1">
        <v>2192</v>
      </c>
      <c r="J30" s="1">
        <v>2084</v>
      </c>
    </row>
    <row r="31" spans="1:10" x14ac:dyDescent="0.3">
      <c r="B31" t="s">
        <v>40</v>
      </c>
      <c r="I31" s="1">
        <v>28834</v>
      </c>
      <c r="J31" s="1">
        <v>28960</v>
      </c>
    </row>
    <row r="32" spans="1:10" x14ac:dyDescent="0.3">
      <c r="B32" t="s">
        <v>41</v>
      </c>
      <c r="I32" s="1">
        <v>5670</v>
      </c>
      <c r="J32" s="1">
        <v>6623</v>
      </c>
    </row>
    <row r="33" spans="2:10" x14ac:dyDescent="0.3">
      <c r="B33" t="s">
        <v>42</v>
      </c>
      <c r="I33" s="1">
        <f>SUM(I23:I32)</f>
        <v>358255</v>
      </c>
      <c r="J33" s="1">
        <f>SUM(J23:J32)</f>
        <v>365264</v>
      </c>
    </row>
    <row r="35" spans="2:10" x14ac:dyDescent="0.3">
      <c r="B35" t="s">
        <v>43</v>
      </c>
      <c r="I35" s="1">
        <v>6303</v>
      </c>
      <c r="J35" s="1">
        <v>5128</v>
      </c>
    </row>
    <row r="36" spans="2:10" x14ac:dyDescent="0.3">
      <c r="B36" t="s">
        <v>44</v>
      </c>
      <c r="I36" s="1">
        <v>12366</v>
      </c>
      <c r="J36" s="1">
        <v>14028</v>
      </c>
    </row>
    <row r="37" spans="2:10" x14ac:dyDescent="0.3">
      <c r="B37" t="s">
        <v>45</v>
      </c>
      <c r="I37" s="1">
        <v>35038</v>
      </c>
      <c r="J37" s="1">
        <v>37866</v>
      </c>
    </row>
    <row r="38" spans="2:10" x14ac:dyDescent="0.3">
      <c r="B38" t="s">
        <v>46</v>
      </c>
      <c r="I38" s="1">
        <v>7662</v>
      </c>
      <c r="J38" s="1">
        <v>8370</v>
      </c>
    </row>
    <row r="39" spans="2:10" x14ac:dyDescent="0.3">
      <c r="B39" t="s">
        <v>47</v>
      </c>
      <c r="I39" s="1">
        <f>3585+594</f>
        <v>4179</v>
      </c>
      <c r="J39" s="1">
        <f>3908+599</f>
        <v>4507</v>
      </c>
    </row>
    <row r="40" spans="2:10" x14ac:dyDescent="0.3">
      <c r="B40" t="s">
        <v>4</v>
      </c>
      <c r="I40" s="1">
        <v>14653</v>
      </c>
      <c r="J40" s="1">
        <v>14701</v>
      </c>
    </row>
    <row r="41" spans="2:10" x14ac:dyDescent="0.3">
      <c r="B41" t="s">
        <v>52</v>
      </c>
      <c r="I41" s="1">
        <f>8572+1025</f>
        <v>9597</v>
      </c>
      <c r="J41" s="1">
        <v>9258</v>
      </c>
    </row>
    <row r="42" spans="2:10" x14ac:dyDescent="0.3">
      <c r="B42" t="s">
        <v>53</v>
      </c>
      <c r="I42" s="1">
        <v>476</v>
      </c>
      <c r="J42" s="1">
        <v>514</v>
      </c>
    </row>
    <row r="43" spans="2:10" x14ac:dyDescent="0.3">
      <c r="B43" t="s">
        <v>38</v>
      </c>
      <c r="I43" s="1">
        <v>11984</v>
      </c>
      <c r="J43" s="1">
        <v>12501</v>
      </c>
    </row>
    <row r="44" spans="2:10" x14ac:dyDescent="0.3">
      <c r="B44" t="s">
        <v>48</v>
      </c>
      <c r="I44" s="1">
        <v>2371</v>
      </c>
      <c r="J44" s="1">
        <v>2247</v>
      </c>
    </row>
    <row r="45" spans="2:10" x14ac:dyDescent="0.3">
      <c r="B45" t="s">
        <v>49</v>
      </c>
      <c r="I45" s="1">
        <f>SUM(I35:I44)</f>
        <v>104629</v>
      </c>
      <c r="J45" s="1">
        <f>SUM(J35:J44)</f>
        <v>109120</v>
      </c>
    </row>
    <row r="46" spans="2:10" x14ac:dyDescent="0.3">
      <c r="B46" t="s">
        <v>50</v>
      </c>
      <c r="I46" s="1">
        <v>253626</v>
      </c>
      <c r="J46" s="1">
        <v>256144</v>
      </c>
    </row>
    <row r="47" spans="2:10" x14ac:dyDescent="0.3">
      <c r="B47" t="s">
        <v>51</v>
      </c>
      <c r="I47" s="1">
        <f>SUM(I45:I46)</f>
        <v>358255</v>
      </c>
      <c r="J47" s="1">
        <f>SUM(J45:J46)</f>
        <v>365264</v>
      </c>
    </row>
    <row r="50" spans="2:10" x14ac:dyDescent="0.3">
      <c r="B50" t="s">
        <v>54</v>
      </c>
      <c r="I50" s="1">
        <f>I14</f>
        <v>13910</v>
      </c>
      <c r="J50" s="1">
        <f>J14</f>
        <v>13624</v>
      </c>
    </row>
    <row r="51" spans="2:10" x14ac:dyDescent="0.3">
      <c r="B51" t="s">
        <v>55</v>
      </c>
      <c r="I51" s="1">
        <v>13910</v>
      </c>
      <c r="J51" s="1">
        <v>13624</v>
      </c>
    </row>
    <row r="52" spans="2:10" x14ac:dyDescent="0.3">
      <c r="B52" t="s">
        <v>56</v>
      </c>
      <c r="I52" s="1">
        <v>3933</v>
      </c>
      <c r="J52" s="1">
        <v>4065</v>
      </c>
    </row>
    <row r="53" spans="2:10" x14ac:dyDescent="0.3">
      <c r="B53" t="s">
        <v>57</v>
      </c>
      <c r="I53" s="1">
        <v>113</v>
      </c>
      <c r="J53" s="1">
        <v>136</v>
      </c>
    </row>
    <row r="54" spans="2:10" x14ac:dyDescent="0.3">
      <c r="B54" t="s">
        <v>58</v>
      </c>
      <c r="I54" s="1">
        <v>4976</v>
      </c>
      <c r="J54" s="1">
        <v>5100</v>
      </c>
    </row>
    <row r="55" spans="2:10" x14ac:dyDescent="0.3">
      <c r="B55" t="s">
        <v>53</v>
      </c>
      <c r="I55" s="1">
        <v>-1920</v>
      </c>
      <c r="J55" s="1">
        <v>-1924</v>
      </c>
    </row>
    <row r="56" spans="2:10" x14ac:dyDescent="0.3">
      <c r="B56" t="s">
        <v>59</v>
      </c>
      <c r="I56" s="1">
        <v>1378</v>
      </c>
      <c r="J56" s="1">
        <v>1663</v>
      </c>
    </row>
    <row r="57" spans="2:10" x14ac:dyDescent="0.3">
      <c r="B57" t="s">
        <v>60</v>
      </c>
      <c r="I57" s="1">
        <v>167</v>
      </c>
      <c r="J57" s="1">
        <v>661</v>
      </c>
    </row>
    <row r="58" spans="2:10" x14ac:dyDescent="0.3">
      <c r="B58" t="s">
        <v>33</v>
      </c>
      <c r="I58" s="1">
        <v>-97</v>
      </c>
      <c r="J58" s="1">
        <v>-4615</v>
      </c>
    </row>
    <row r="59" spans="2:10" x14ac:dyDescent="0.3">
      <c r="B59" t="s">
        <v>17</v>
      </c>
      <c r="I59" s="1">
        <v>-609</v>
      </c>
      <c r="J59" s="1">
        <v>1446</v>
      </c>
    </row>
    <row r="60" spans="2:10" x14ac:dyDescent="0.3">
      <c r="B60" t="s">
        <v>60</v>
      </c>
      <c r="I60" s="1">
        <v>-2647</v>
      </c>
      <c r="J60" s="1">
        <v>-778</v>
      </c>
    </row>
    <row r="61" spans="2:10" x14ac:dyDescent="0.3">
      <c r="B61" t="s">
        <v>43</v>
      </c>
      <c r="I61" s="1">
        <v>1907</v>
      </c>
      <c r="J61" s="1">
        <v>-28</v>
      </c>
    </row>
    <row r="62" spans="2:10" x14ac:dyDescent="0.3">
      <c r="B62" t="s">
        <v>61</v>
      </c>
      <c r="I62" s="1">
        <v>2210</v>
      </c>
      <c r="J62" s="1">
        <v>3424</v>
      </c>
    </row>
    <row r="63" spans="2:10" x14ac:dyDescent="0.3">
      <c r="B63" t="s">
        <v>46</v>
      </c>
      <c r="I63" s="1">
        <v>-80</v>
      </c>
      <c r="J63" s="1">
        <v>577</v>
      </c>
    </row>
    <row r="64" spans="2:10" x14ac:dyDescent="0.3">
      <c r="B64" t="s">
        <v>62</v>
      </c>
      <c r="I64" s="1">
        <v>112</v>
      </c>
      <c r="J64" s="1">
        <v>263</v>
      </c>
    </row>
    <row r="65" spans="2:10" x14ac:dyDescent="0.3">
      <c r="B65" t="s">
        <v>63</v>
      </c>
      <c r="I65" s="1">
        <f>SUM(I51:I64)</f>
        <v>23353</v>
      </c>
      <c r="J65" s="1">
        <f>SUM(J51:J64)</f>
        <v>23614</v>
      </c>
    </row>
    <row r="67" spans="2:10" x14ac:dyDescent="0.3">
      <c r="B67" t="s">
        <v>64</v>
      </c>
      <c r="I67" s="1">
        <v>-7276</v>
      </c>
      <c r="J67" s="1">
        <v>-7595</v>
      </c>
    </row>
    <row r="68" spans="2:10" x14ac:dyDescent="0.3">
      <c r="B68" t="s">
        <v>65</v>
      </c>
      <c r="I68" s="1">
        <v>-17054</v>
      </c>
      <c r="J68" s="1">
        <v>-11621</v>
      </c>
    </row>
    <row r="69" spans="2:10" x14ac:dyDescent="0.3">
      <c r="B69" t="s">
        <v>66</v>
      </c>
      <c r="I69" s="1">
        <v>28713</v>
      </c>
      <c r="J69" s="1">
        <v>13735</v>
      </c>
    </row>
    <row r="70" spans="2:10" x14ac:dyDescent="0.3">
      <c r="B70" t="s">
        <v>67</v>
      </c>
      <c r="I70" s="1">
        <v>-364</v>
      </c>
      <c r="J70" s="1">
        <v>-903</v>
      </c>
    </row>
    <row r="71" spans="2:10" x14ac:dyDescent="0.3">
      <c r="B71" t="s">
        <v>68</v>
      </c>
      <c r="I71" s="1">
        <v>6</v>
      </c>
      <c r="J71" s="1">
        <v>19</v>
      </c>
    </row>
    <row r="72" spans="2:10" x14ac:dyDescent="0.3">
      <c r="B72" t="s">
        <v>69</v>
      </c>
      <c r="I72" s="1">
        <v>-5649</v>
      </c>
      <c r="J72" s="1">
        <v>-84</v>
      </c>
    </row>
    <row r="73" spans="2:10" x14ac:dyDescent="0.3">
      <c r="B73" t="s">
        <v>60</v>
      </c>
      <c r="I73" s="1">
        <v>791</v>
      </c>
      <c r="J73" s="1">
        <v>222</v>
      </c>
    </row>
    <row r="74" spans="2:10" x14ac:dyDescent="0.3">
      <c r="B74" t="s">
        <v>70</v>
      </c>
      <c r="I74" s="1">
        <f>SUM(I67:I73)</f>
        <v>-833</v>
      </c>
      <c r="J74" s="1">
        <f>SUM(J67:J73)</f>
        <v>-6227</v>
      </c>
    </row>
    <row r="76" spans="2:10" x14ac:dyDescent="0.3">
      <c r="B76" t="s">
        <v>71</v>
      </c>
      <c r="I76" s="1">
        <v>-2041</v>
      </c>
      <c r="J76" s="1">
        <v>-2079</v>
      </c>
    </row>
    <row r="77" spans="2:10" x14ac:dyDescent="0.3">
      <c r="B77" t="s">
        <v>72</v>
      </c>
      <c r="I77" s="1">
        <v>-15392</v>
      </c>
      <c r="J77" s="1">
        <v>-15407</v>
      </c>
    </row>
    <row r="78" spans="2:10" x14ac:dyDescent="0.3">
      <c r="B78" t="s">
        <v>73</v>
      </c>
      <c r="I78" s="1">
        <v>15094</v>
      </c>
      <c r="J78" s="1">
        <v>8550</v>
      </c>
    </row>
    <row r="79" spans="2:10" x14ac:dyDescent="0.3">
      <c r="B79" t="s">
        <v>76</v>
      </c>
      <c r="I79" s="1">
        <v>-15768</v>
      </c>
      <c r="J79" s="1">
        <v>-8718</v>
      </c>
    </row>
    <row r="80" spans="2:10" x14ac:dyDescent="0.3">
      <c r="B80" t="s">
        <v>74</v>
      </c>
      <c r="I80" s="1">
        <v>10</v>
      </c>
      <c r="J80" s="1">
        <v>25</v>
      </c>
    </row>
    <row r="81" spans="1:10" x14ac:dyDescent="0.3">
      <c r="B81" t="s">
        <v>75</v>
      </c>
      <c r="I81" s="1">
        <f>SUM(I76:I80)</f>
        <v>-18097</v>
      </c>
      <c r="J81" s="1">
        <f>SUM(J76:J80)</f>
        <v>-17629</v>
      </c>
    </row>
    <row r="83" spans="1:10" x14ac:dyDescent="0.3">
      <c r="B83" t="s">
        <v>77</v>
      </c>
      <c r="I83" s="1">
        <v>-375</v>
      </c>
      <c r="J83" s="1">
        <v>137</v>
      </c>
    </row>
    <row r="84" spans="1:10" x14ac:dyDescent="0.3">
      <c r="B84" t="s">
        <v>78</v>
      </c>
      <c r="I84" s="1">
        <f>I83+I81+I74+I65</f>
        <v>4048</v>
      </c>
      <c r="J84" s="1">
        <f>J83+J81+J74+J65</f>
        <v>-105</v>
      </c>
    </row>
    <row r="85" spans="1:10" x14ac:dyDescent="0.3">
      <c r="B85" t="s">
        <v>79</v>
      </c>
    </row>
    <row r="86" spans="1:10" x14ac:dyDescent="0.3">
      <c r="B86" t="s">
        <v>80</v>
      </c>
    </row>
    <row r="88" spans="1:10" s="4" customFormat="1" x14ac:dyDescent="0.3">
      <c r="A88" s="3"/>
      <c r="B88" s="3" t="s">
        <v>81</v>
      </c>
      <c r="I88" s="4">
        <f>I65+I67</f>
        <v>16077</v>
      </c>
      <c r="J88" s="4">
        <f>J65+J67</f>
        <v>16019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2023-03-21T19:50:08Z</dcterms:modified>
</cp:coreProperties>
</file>